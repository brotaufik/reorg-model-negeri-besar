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Matriks Negeri Besar" sheetId="2" state="visible" r:id="rId4"/>
    <sheet name="Skor Senario A" sheetId="3" state="visible" r:id="rId5"/>
    <sheet name="Senario B Geografi" sheetId="4" state="visible" r:id="rId6"/>
    <sheet name="Data 9 Negeri" sheetId="5" state="visible" r:id="rId7"/>
    <sheet name="Borang Negeri" sheetId="6" state="visible" r:id="rId8"/>
    <sheet name="Kaedah &amp; Sumber" sheetId="7" state="visible" r:id="rId9"/>
  </sheets>
  <definedNames>
    <definedName function="false" hidden="false" localSheetId="5" name="_xlnm.Print_Titles" vbProcedure="false">'Borang Negeri'!$12:$12</definedName>
    <definedName function="false" hidden="false" localSheetId="4" name="_xlnm.Print_Titles" vbProcedure="false">'Data 9 Negeri'!$3:$3</definedName>
    <definedName function="false" hidden="false" localSheetId="1" name="_xlnm.Print_Titles" vbProcedure="false">'Matriks Negeri Besar'!$4:$5</definedName>
    <definedName function="false" hidden="false" localSheetId="2" name="_xlnm.Print_Titles" vbProcedure="false">'Skor Senario A'!$4:$5</definedName>
    <definedName function="false" hidden="false" name="P_HAD" vbProcedure="false">Ringkasan!$C$7</definedName>
    <definedName function="false" hidden="false" name="P_MINN" vbProcedure="false">Ringkasan!$C$8</definedName>
    <definedName function="false" hidden="false" name="P_SUMBER" vbProcedure="false">Ringkasan!$C$6</definedName>
    <definedName function="false" hidden="false" name="W_GEO" vbProcedure="false">Ringkasan!$C$14</definedName>
    <definedName function="false" hidden="false" name="W_KEM" vbProcedure="false">Ringkasan!$C$10</definedName>
    <definedName function="false" hidden="false" name="W_KOM" vbProcedure="false">Ringkasan!$C$11</definedName>
    <definedName function="false" hidden="false" name="W_PAKK" vbProcedure="false">Ringkasan!$C$9</definedName>
    <definedName function="false" hidden="false" name="W_PENG" vbProcedure="false">Ringkasan!$C$12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<sst xmlns="http://schemas.openxmlformats.org/spreadsheetml/2006/main" count="1093" uniqueCount="555">
  <si>
    <t xml:space="preserve">INDEKS BEBAN TUGAS BERWAJARAN: NEGERI BESAR KEMAS</t>
  </si>
  <si>
    <t xml:space="preserve">Kerangka wajaran HQ (fail negeri sederhana v3) digunakan ke atas Sarawak, Sabah, Johor dan Perak. Indeks 1.00 = purata 5 negeri sederhana (Selangor, Kedah, Pahang, Terengganu, Kelantan).</t>
  </si>
  <si>
    <t xml:space="preserve">Versi 1.3 | 23 September 2026 | Kumpulan 4 Negeri Besar | Data agregat sahaja (tiada data peribadi)</t>
  </si>
  <si>
    <t xml:space="preserve">PANEL KAWALAN  (ubah sel kuning sahaja; semua sheet dikira semula secara automatik)</t>
  </si>
  <si>
    <t xml:space="preserve">Sumber garis asas</t>
  </si>
  <si>
    <t xml:space="preserve">Nasional</t>
  </si>
  <si>
    <t xml:space="preserve">Nasional (lalai) = satu sumber kebangsaan untuk semua 9 negeri jika ada (BPAK Mei 2026, PPPAK, PKEM 2026, DOSM). Data HQ = nilai negeri sederhana seperti dalam fail HQ; negeri besar guna data negeri (L1).</t>
  </si>
  <si>
    <t xml:space="preserve">Had nisbah maksimum</t>
  </si>
  <si>
    <t xml:space="preserve">99 = tiada had. Uji 3.0 untuk hadkan kesan nilai ekstrem (contoh: kampung Sarawak, keluasan Sarawak).</t>
  </si>
  <si>
    <t xml:space="preserve">Minimum negeri sederhana untuk garis asas sah</t>
  </si>
  <si>
    <t xml:space="preserve">Garis asas sub-kriteria sah hanya jika sekurang-kurangnya bilangan ini negeri sederhana mempunyai nilai berangka.</t>
  </si>
  <si>
    <t xml:space="preserve">Wajaran Pendidikan Awal Kanak-Kanak (HQ)</t>
  </si>
  <si>
    <t xml:space="preserve">Wajaran asal HQ.</t>
  </si>
  <si>
    <t xml:space="preserve">Wajaran Kemahiran (HQ)</t>
  </si>
  <si>
    <t xml:space="preserve">Wajaran Komuniti (HQ)</t>
  </si>
  <si>
    <t xml:space="preserve">Wajaran Pengurusan (HQ)</t>
  </si>
  <si>
    <t xml:space="preserve">Jumlah wajaran HQ (semakan)</t>
  </si>
  <si>
    <t xml:space="preserve">Wajaran keluasan kawasan (Senario B)</t>
  </si>
  <si>
    <t xml:space="preserve">Cadangan Kumpulan 4. Wajaran HQ didarab (1 - nilai ini) dalam Senario B.</t>
  </si>
  <si>
    <t xml:space="preserve">KEPUTUSAN (dikira daripada sheet Skor Senario A dan Senario B Geografi)</t>
  </si>
  <si>
    <t xml:space="preserve">Negeri</t>
  </si>
  <si>
    <t xml:space="preserve">Kategori</t>
  </si>
  <si>
    <t xml:space="preserve">Indeks Senario A (wajaran HQ)</t>
  </si>
  <si>
    <t xml:space="preserve">Kedudukan A</t>
  </si>
  <si>
    <t xml:space="preserve">Indeks Senario B (+ keluasan)</t>
  </si>
  <si>
    <t xml:space="preserve">Kedudukan B</t>
  </si>
  <si>
    <t xml:space="preserve">Indeks tanpa Pengurusan</t>
  </si>
  <si>
    <t xml:space="preserve">Sub-kriteria diskor (/23)</t>
  </si>
  <si>
    <t xml:space="preserve">Liputan berwajaran</t>
  </si>
  <si>
    <t xml:space="preserve">Sarawak</t>
  </si>
  <si>
    <t xml:space="preserve">Negeri besar</t>
  </si>
  <si>
    <t xml:space="preserve">Sabah</t>
  </si>
  <si>
    <t xml:space="preserve">Johor</t>
  </si>
  <si>
    <t xml:space="preserve">Perak</t>
  </si>
  <si>
    <t xml:space="preserve">Selangor</t>
  </si>
  <si>
    <t xml:space="preserve">Negeri sederhana</t>
  </si>
  <si>
    <t xml:space="preserve">Kedah</t>
  </si>
  <si>
    <t xml:space="preserve">Pahang</t>
  </si>
  <si>
    <t xml:space="preserve">Terengganu</t>
  </si>
  <si>
    <t xml:space="preserve">Kelantan</t>
  </si>
  <si>
    <t xml:space="preserve">Purata 5 negeri sederhana</t>
  </si>
  <si>
    <t xml:space="preserve">Purata 4 negeri besar</t>
  </si>
  <si>
    <t xml:space="preserve">CATATAN UTAMA</t>
  </si>
  <si>
    <t xml:space="preserve">1  TAFSIRAN INDEKS</t>
  </si>
  <si>
    <t xml:space="preserve">Indeks 1.00 = purata 5 negeri sederhana dalam fail HQ. Indeks 2.00 bermaksud beban tugas berwajaran dua kali ganda purata negeri sederhana.</t>
  </si>
  <si>
    <t xml:space="preserve">2  ASAS SKOR</t>
  </si>
  <si>
    <t xml:space="preserve">Skor dikira hanya pada sub-kriteria yang ada data untuk keempat-empat negeri besar dan sekurang-kurangnya 3 negeri sederhana (parameter; set yang sama untuk 9 negeri). Sub-kriteria lain ditanda [DATA BELUM DIKEMUKAKAN] dan diminta melalui sheet Borang Negeri; indeks dikira semula secara automatik apabila borang diisi.</t>
  </si>
  <si>
    <t xml:space="preserve">3  PENGURUSAN 50%</t>
  </si>
  <si>
    <t xml:space="preserve">Pengurusan (50%) kini diwakili oleh perjawatan sahaja kerana data aset, bajet, baucer dan projek belum ada (dan HQ sendiri hanya ada 1 hingga 2 negeri sederhana). Rujuk lajur Indeks tanpa Pengurusan sebagai semakan kepekaan.</t>
  </si>
  <si>
    <t xml:space="preserve">4  SUIS SUMBER</t>
  </si>
  <si>
    <t xml:space="preserve">Suis Sumber garis asas: Nasional (lalai) guna satu sumber kebangsaan untuk semua 9 negeri; Data HQ guna nilai negeri sederhana seperti dalam fail HQ.</t>
  </si>
  <si>
    <t xml:space="preserve">5  SENARIO B</t>
  </si>
  <si>
    <t xml:space="preserve">Senario B ialah cadangan Kumpulan 4 (faktor keluasan 10%), bukan sebahagian kerangka HQ asal.</t>
  </si>
  <si>
    <t xml:space="preserve">6  SABAH DAN JOHOR</t>
  </si>
  <si>
    <t xml:space="preserve">Sabah: kampung ialah had bawah (4 daerah dan kampung Semporna belum diisi dalam L1). Perjawatan Sabah dan Johor ialah anggaran L4; Sabah belum disahkan.</t>
  </si>
  <si>
    <t xml:space="preserve">7  RUJUKAN</t>
  </si>
  <si>
    <t xml:space="preserve">Butiran kaedah, sumber dan had data: sheet Kaedah &amp; Sumber.</t>
  </si>
  <si>
    <t xml:space="preserve">MATRIKS WAJARAN NEGERI BESAR (FORMAT HQ)</t>
  </si>
  <si>
    <t xml:space="preserve">Bil.</t>
  </si>
  <si>
    <t xml:space="preserve">Kriteria</t>
  </si>
  <si>
    <t xml:space="preserve">Sub Kriteria</t>
  </si>
  <si>
    <t xml:space="preserve">Wajaran</t>
  </si>
  <si>
    <t xml:space="preserve">Penerangan</t>
  </si>
  <si>
    <t xml:space="preserve">Sumber data dan catatan</t>
  </si>
  <si>
    <t xml:space="preserve">Purata 5 negeri sederhana (garis asas)</t>
  </si>
  <si>
    <t xml:space="preserve">Diskor?</t>
  </si>
  <si>
    <t xml:space="preserve">Pendidikan Awal Kanak-Kanak</t>
  </si>
  <si>
    <t xml:space="preserve">Bilangan kelas TABIKA</t>
  </si>
  <si>
    <t xml:space="preserve">Jumlah kelas TABIKA yang perlu diurus, diselia dan dipantau.</t>
  </si>
  <si>
    <t xml:space="preserve">BPAK Data Kelas TABIKA 2026 (Mei 2026).</t>
  </si>
  <si>
    <t xml:space="preserve">Bilangan kelas TASKA</t>
  </si>
  <si>
    <t xml:space="preserve">Jumlah kelas TASKA yang perlu diurus, diselia dan dipantau.</t>
  </si>
  <si>
    <t xml:space="preserve">BPAK Data Kelas TASKA 2026 (Mei 2026).</t>
  </si>
  <si>
    <t xml:space="preserve">Bilangan guru TABIKA</t>
  </si>
  <si>
    <t xml:space="preserve">Jumlah tenaga pengajar yang berada di bawah penyeliaan TABIKA</t>
  </si>
  <si>
    <t xml:space="preserve">BPAK: jumlah PM TABIKA gred S5 + S1 (kontrak dan JSKT).</t>
  </si>
  <si>
    <t xml:space="preserve">Bilangan guru TASKA</t>
  </si>
  <si>
    <t xml:space="preserve">Jumlah tenaga pengajar yang berada di bawah penyeliaan TASKA (†)</t>
  </si>
  <si>
    <t xml:space="preserve">BPAK: jumlah PM TASKA gred S5 + S1 (kontrak dan JSKT).</t>
  </si>
  <si>
    <t xml:space="preserve">Bilangan pembantu</t>
  </si>
  <si>
    <t xml:space="preserve">Jumlah tenaga pembantu yang berada di bawah penyeliaan</t>
  </si>
  <si>
    <t xml:space="preserve">Borang B1 diisi lengkap oleh Sarawak, Sabah, Johor dan Perak (disahkan Sept 2026). Rujukan L4 (tidak setara takrif HQ): Sarawak 19, Sabah ±19, Johor 7, Perak 2.</t>
  </si>
  <si>
    <t xml:space="preserve">Bilangan murid TABIKA</t>
  </si>
  <si>
    <t xml:space="preserve">Jumlah murid yang menerima perkhidmatan pendidikan awal kanak-kanak (TABIKA)</t>
  </si>
  <si>
    <t xml:space="preserve">Borang B2 diisi lengkap oleh Sarawak, Sabah, Johor dan Perak (disahkan Sept 2026).</t>
  </si>
  <si>
    <t xml:space="preserve">Bilangan murid TASKA</t>
  </si>
  <si>
    <t xml:space="preserve">Jumlah murid yang menerima perkhidmatan pendidikan awal kanak-kanak (TASKA)</t>
  </si>
  <si>
    <t xml:space="preserve">Borang B3 diisi lengkap oleh Sarawak, Sabah, Johor dan Perak (disahkan Sept 2026).</t>
  </si>
  <si>
    <t xml:space="preserve">Bilangan penyelia daerah</t>
  </si>
  <si>
    <t xml:space="preserve">Jumlah penyelia yang bertanggungjawab terhadap pemantauan dan penyelarasan di peringkat daerah.</t>
  </si>
  <si>
    <t xml:space="preserve">PPPAK: Rumusan Pengisian, lajur Pengisian.</t>
  </si>
  <si>
    <t xml:space="preserve">Kemahiran</t>
  </si>
  <si>
    <t xml:space="preserve">Bilangan kelas</t>
  </si>
  <si>
    <t xml:space="preserve">Jumlah kelas atau aktiviti kemahiran yang dilaksanakan.</t>
  </si>
  <si>
    <t xml:space="preserve">PKEM 2026: bilangan rekod kelas (sheet PREMIS). Sabah: 543 disahkan terus negeri (Sept 2026), menggantikan anggaran PKEM 230 bagi Sabah sahaja; Sarawak, Johor dan Perak kekal guna anggaran PKEM.</t>
  </si>
  <si>
    <t xml:space="preserve">Bilangan program / aktiviti</t>
  </si>
  <si>
    <t xml:space="preserve">Jumlah program kemahiran yang perlu dirancang, diselaras dan dipantau.</t>
  </si>
  <si>
    <t xml:space="preserve">Borang B4 diisi lengkap oleh Sarawak, Sabah, Johor (Sept 2026) dan Perak (kemas kini 23 Sept 2026, v1.3).</t>
  </si>
  <si>
    <t xml:space="preserve">Bilangan guru</t>
  </si>
  <si>
    <t xml:space="preserve">Jumlah tenaga pengajar yang terlibat dalam program kemahiran.</t>
  </si>
  <si>
    <t xml:space="preserve">PKEM 2026: bilangan PM kemahiran (sheet PM).</t>
  </si>
  <si>
    <t xml:space="preserve">Bilangan peserta</t>
  </si>
  <si>
    <t xml:space="preserve">Jumlah peserta yang mengikuti kelas atau program kemahiran.</t>
  </si>
  <si>
    <t xml:space="preserve">PKEM 2026: jumlah peserta (sheet PREMIS). Sebahagian kelas tiada angka peserta.</t>
  </si>
  <si>
    <t xml:space="preserve">Komuniti</t>
  </si>
  <si>
    <t xml:space="preserve">Bilangan kampung</t>
  </si>
  <si>
    <t xml:space="preserve">Jumlah kampung atau lokaliti yang berada dalam liputan perkhidmatan KEMAS.</t>
  </si>
  <si>
    <t xml:space="preserve">Bilangan populasi</t>
  </si>
  <si>
    <t xml:space="preserve">Jumlah penduduk yang menjadi kumpulan sasaran program pembangunan komuniti.</t>
  </si>
  <si>
    <t xml:space="preserve">Bilangan aktiviti / program</t>
  </si>
  <si>
    <t xml:space="preserve">Jumlah aktiviti dan program komuniti yang dilaksanakan dan perlu dipantau. (†)</t>
  </si>
  <si>
    <t xml:space="preserve">Borang B5 diisi lengkap oleh Sarawak, Sabah, Johor (Sept 2026) dan Perak (kemas kini 23 Sept 2026, v1.3).</t>
  </si>
  <si>
    <t xml:space="preserve">Jumlah peserta yang mengikuti aktiviti dan program komuniti. (†)</t>
  </si>
  <si>
    <t xml:space="preserve">Borang B6 diisi lengkap oleh Sarawak, Sabah, Johor (Sept 2026) dan Perak (v1.3). Belum diskor kerana garis asas HQ masih belum sah: hanya 2 negeri sederhana ada data.</t>
  </si>
  <si>
    <t xml:space="preserve">Pengurusan</t>
  </si>
  <si>
    <t xml:space="preserve">Aset alih</t>
  </si>
  <si>
    <t xml:space="preserve">Jumlah aset alih yang perlu diurus, direkod, diselenggara dan dipantau.</t>
  </si>
  <si>
    <t xml:space="preserve">Borang B7 diisi oleh Sarawak (28,630 item), Sabah (36,669 item = Harta Modal 1,747 + Aset Bernilai Rendah 34,922) dan Perak (30,408 item, v1.3); Johor belum. Garis asas HQ belum sah: Pahang sahaja.</t>
  </si>
  <si>
    <t xml:space="preserve">Aset tidak alih</t>
  </si>
  <si>
    <t xml:space="preserve">Jumlah premis, bangunan atau aset tidak alih di bawah tanggungjawab pengurusan.</t>
  </si>
  <si>
    <t xml:space="preserve">Borang B9 diisi oleh Sabah (1,022 = Milikan 245 + Tumpang 717 + Sewa 60), Johor (893) dan Perak (367, v1.3). Sarawak menyatakan "tiada jumlah negeri" (belum diisi). Garis asas HQ belum sah: Pahang dan Kelantan sahaja.</t>
  </si>
  <si>
    <t xml:space="preserve">Bajet (OE)</t>
  </si>
  <si>
    <t xml:space="preserve">Nilai dan skala peruntukan kewangan yang perlu diurus.</t>
  </si>
  <si>
    <t xml:space="preserve">Borang B10 diisi lengkap: Sarawak (RM6,896,060), Sabah (RM76,816,482), Johor (RM101,223,814) dan Perak (RM87,049,719, v1.3). Belum diskor kerana garis asas HQ belum sah: Pahang dan Kelantan sahaja.</t>
  </si>
  <si>
    <t xml:space="preserve">Bajet (DE)</t>
  </si>
  <si>
    <t xml:space="preserve">Nilai dan skala peruntukan pembangunan (DE) yang perlu diurus. (†)</t>
  </si>
  <si>
    <t xml:space="preserve">Borang B11 diisi lengkap: Sarawak (RM8,351,734), Sabah (RM7,031,639), Johor (RM3,911,500) dan Perak (RM3,038,000, v1.3). Belum diskor kerana garis asas HQ belum sah: Pahang dan Kelantan sahaja.</t>
  </si>
  <si>
    <t xml:space="preserve">Bilangan Baucer</t>
  </si>
  <si>
    <t xml:space="preserve">Mengukur kekerapan dan kompleksiti proses agihan serta pemantauan peruntukan ke daerah.</t>
  </si>
  <si>
    <t xml:space="preserve">Borang B12 diisi lengkap: Sarawak (15,000; v1.3, menggantikan julat "10-15K" yang dihantar sebelum ini), Sabah (3,997), Johor (4,825) dan Perak (7,500, v1.3). Belum diskor kerana garis asas HQ belum sah: Pahang sahaja.</t>
  </si>
  <si>
    <t xml:space="preserve">Bilangan projek dan program</t>
  </si>
  <si>
    <t xml:space="preserve">Jumlah projek dan program yang memerlukan penyelarasan, pemantauan dan pelaporan.</t>
  </si>
  <si>
    <t xml:space="preserve">Borang B14 diisi lengkap: Sarawak (507), Sabah (204), Johor (46) dan Perak (450, v1.3). Johor hantar "46 Projek, 657 PO"; hanya 46 (Projek) digunakan kerana takrif "PO" belum disahkan.</t>
  </si>
  <si>
    <t xml:space="preserve">Perjawatan / pengurusan pegawai</t>
  </si>
  <si>
    <t xml:space="preserve">Jumlah pegawai dan kompleksiti urusan sumber manusia, pentadbiran dan penyeliaan.</t>
  </si>
  <si>
    <t xml:space="preserve">L3/L4 negeri (Kertas Cadangan v2.3): Sarawak dan Perak L3; Johor dan Sabah anggaran L4 (*), Sabah belum disahkan. Pengesahan melalui Borang B15.</t>
  </si>
  <si>
    <t xml:space="preserve">JUMLAH KESELURUHAN</t>
  </si>
  <si>
    <t xml:space="preserve">PETUNJUK MEMBACA MATRIKS</t>
  </si>
  <si>
    <t xml:space="preserve">Contoh paparan</t>
  </si>
  <si>
    <t xml:space="preserve">Maksud</t>
  </si>
  <si>
    <t xml:space="preserve">[DATA BELUM DIKEMUKAKAN]</t>
  </si>
  <si>
    <t xml:space="preserve">Negeri belum mengemukakan data ikut takrif HQ; diminta melalui sheet Borang Negeri. Model dikira semula secara automatik apabila borang diisi.</t>
  </si>
  <si>
    <t xml:space="preserve">≥2,558</t>
  </si>
  <si>
    <t xml:space="preserve">Had bawah: data negeri belum lengkap (contoh kampung Sabah, 4 daerah dan kampung Semporna belum diisi dalam L1).</t>
  </si>
  <si>
    <t xml:space="preserve">2,146*</t>
  </si>
  <si>
    <t xml:space="preserve">Anggaran L4 yang belum disahkan (perjawatan Sabah dan Johor); pengesahan melalui Borang B15.</t>
  </si>
  <si>
    <t xml:space="preserve">YA  /  TIDAK</t>
  </si>
  <si>
    <t xml:space="preserve">Lajur Diskor?: YA = sub-kriteria dimasukkan dalam skor; TIDAK = data belum cukup (lihat sheet Skor Senario A).</t>
  </si>
  <si>
    <t xml:space="preserve">Penerangan (†)</t>
  </si>
  <si>
    <t xml:space="preserve">Teks penerangan dibetulkan atau dilengkapkan daripada fail HQ (teks asal tersalin atau kosong); lihat Kaedah &amp; Sumber bahagian 6.</t>
  </si>
  <si>
    <t xml:space="preserve">Suis sumber</t>
  </si>
  <si>
    <t xml:space="preserve">Nilai negeri besar mengikut suis Sumber garis asas di sheet Ringkasan (kesan pada baris populasi sahaja; baris lain guna sumber yang sama dalam kedua-dua suis).</t>
  </si>
  <si>
    <t xml:space="preserve">SKOR SENARIO A: WAJARAN ASAL HQ (PAKK 20%, KEMAHIRAN 15%, KOMUNITI 15%, PENGURUSAN 50%)</t>
  </si>
  <si>
    <t xml:space="preserve">SUB-KRITERIA, GARIS ASAS DAN KELAYAKAN</t>
  </si>
  <si>
    <t xml:space="preserve">NISBAH NEGERI BESAR</t>
  </si>
  <si>
    <t xml:space="preserve">NISBAH NEGERI SEDERHANA (rujukan)</t>
  </si>
  <si>
    <t xml:space="preserve">SEMAKAN</t>
  </si>
  <si>
    <t xml:space="preserve">Kod</t>
  </si>
  <si>
    <t xml:space="preserve">Sub kriteria</t>
  </si>
  <si>
    <t xml:space="preserve">Garis asas (purata sederhana)</t>
  </si>
  <si>
    <t xml:space="preserve">n sederhana</t>
  </si>
  <si>
    <t xml:space="preserve">n besar</t>
  </si>
  <si>
    <t xml:space="preserve">Paksa (pilihan: YA / TIDAK)</t>
  </si>
  <si>
    <t xml:space="preserve">Masuk skor?</t>
  </si>
  <si>
    <t xml:space="preserve">Purata nisbah sederhana</t>
  </si>
  <si>
    <t xml:space="preserve">Purata nisbah besar</t>
  </si>
  <si>
    <t xml:space="preserve">1.1</t>
  </si>
  <si>
    <t xml:space="preserve">1.2</t>
  </si>
  <si>
    <t xml:space="preserve">1.3</t>
  </si>
  <si>
    <t xml:space="preserve">1.4</t>
  </si>
  <si>
    <t xml:space="preserve">1.5</t>
  </si>
  <si>
    <t xml:space="preserve">1.6</t>
  </si>
  <si>
    <t xml:space="preserve">1.7</t>
  </si>
  <si>
    <t xml:space="preserve">1.8</t>
  </si>
  <si>
    <t xml:space="preserve">2.1</t>
  </si>
  <si>
    <t xml:space="preserve">2.2</t>
  </si>
  <si>
    <t xml:space="preserve">2.3</t>
  </si>
  <si>
    <t xml:space="preserve">2.4</t>
  </si>
  <si>
    <t xml:space="preserve">3.1</t>
  </si>
  <si>
    <t xml:space="preserve">3.2</t>
  </si>
  <si>
    <t xml:space="preserve">3.3</t>
  </si>
  <si>
    <t xml:space="preserve">3.4</t>
  </si>
  <si>
    <t xml:space="preserve">4.1</t>
  </si>
  <si>
    <t xml:space="preserve">4.2</t>
  </si>
  <si>
    <t xml:space="preserve">4.3</t>
  </si>
  <si>
    <t xml:space="preserve">4.4</t>
  </si>
  <si>
    <t xml:space="preserve">4.5</t>
  </si>
  <si>
    <t xml:space="preserve">4.6</t>
  </si>
  <si>
    <t xml:space="preserve">4.7</t>
  </si>
  <si>
    <t xml:space="preserve">SKOR KRITERIA (purata nisbah sub-kriteria yang diskor)</t>
  </si>
  <si>
    <t xml:space="preserve">Wajaran HQ</t>
  </si>
  <si>
    <t xml:space="preserve">Sub-kriteria diskor</t>
  </si>
  <si>
    <t xml:space="preserve">Jumlah sub-kriteria</t>
  </si>
  <si>
    <t xml:space="preserve">Purata sederhana</t>
  </si>
  <si>
    <t xml:space="preserve">Purata besar</t>
  </si>
  <si>
    <t xml:space="preserve">Jumlah (wajaran x skor kriteria) [pengiraan]</t>
  </si>
  <si>
    <t xml:space="preserve">Jumlah wajaran kriteria yang ada skor [pengiraan]</t>
  </si>
  <si>
    <t xml:space="preserve">INDEKS KOMPOSIT SENARIO A</t>
  </si>
  <si>
    <t xml:space="preserve">Kedudukan (1 = beban tertinggi daripada 9)</t>
  </si>
  <si>
    <t xml:space="preserve">Sub-kriteria diskor (daripada 23)</t>
  </si>
  <si>
    <t xml:space="preserve">Liputan berwajaran (bahagian kerangka HQ yang disokong data)</t>
  </si>
  <si>
    <t xml:space="preserve">Indeks tanpa Pengurusan (semakan kepekaan)</t>
  </si>
  <si>
    <t xml:space="preserve">Kedudukan tanpa Pengurusan</t>
  </si>
  <si>
    <t xml:space="preserve">CARA MEMBACA SHEET INI</t>
  </si>
  <si>
    <t xml:space="preserve">1  GARIS ASAS</t>
  </si>
  <si>
    <t xml:space="preserve">Garis asas (lajur D) = purata nilai guna 5 negeri sederhana. Nisbah 1.00 = sama dengan purata negeri sederhana; 2.00 = dua kali ganda.</t>
  </si>
  <si>
    <t xml:space="preserve">2  MASUK SKOR?</t>
  </si>
  <si>
    <t xml:space="preserve">YA jika garis asas sah dan keempat-empat negeri besar ada data. Semua 9 negeri dibandingkan atas set sub-kriteria yang sama.</t>
  </si>
  <si>
    <t xml:space="preserve">3  LAJUR PAKSA</t>
  </si>
  <si>
    <t xml:space="preserve">Lajur G (kuning) membolehkan sub-kriteria dipaksa masuk (YA) atau dikecualikan (TIDAK). Biarkan kosong untuk ikut peraturan automatik.</t>
  </si>
  <si>
    <t xml:space="preserve">4  SKOR DAN INDEKS</t>
  </si>
  <si>
    <t xml:space="preserve">Skor kriteria = purata nisbah sub-kriteria yang diskor. Indeks komposit = jumlah (wajaran x skor) / jumlah wajaran kriteria yang ada skor.</t>
  </si>
  <si>
    <t xml:space="preserve">5  LIPUTAN BERWAJARAN</t>
  </si>
  <si>
    <t xml:space="preserve">Menunjukkan berapa bahagian kerangka HQ (ikut wajaran) yang benar-benar disokong data. Baki diminta melalui sheet Borang Negeri.</t>
  </si>
  <si>
    <t xml:space="preserve">6  TANPA PENGURUSAN</t>
  </si>
  <si>
    <t xml:space="preserve">Pengurusan (50%) kini diwakili oleh perjawatan sahaja; baris Indeks tanpa Pengurusan menguji sama ada kedudukan kekal tanpa kriteria itu.</t>
  </si>
  <si>
    <t xml:space="preserve">7  WARNA NISBAH</t>
  </si>
  <si>
    <t xml:space="preserve">Oren = di bawah purata negeri sederhana (kurang 1.00); putih = setara (1.00); hijau = di atas purata (lebih 1.00), semakin gelap semakin tinggi.</t>
  </si>
  <si>
    <t xml:space="preserve">SENARIO B: WAJARAN HQ + FAKTOR KELUASAN KAWASAN (CADANGAN KUMPULAN 4)</t>
  </si>
  <si>
    <t xml:space="preserve">Wajaran HQ (A)</t>
  </si>
  <si>
    <t xml:space="preserve">Wajaran B</t>
  </si>
  <si>
    <t xml:space="preserve">Keluasan kawasan (tiada dalam kerangka HQ)</t>
  </si>
  <si>
    <t xml:space="preserve">JUMLAH</t>
  </si>
  <si>
    <t xml:space="preserve">Item</t>
  </si>
  <si>
    <t xml:space="preserve">Wajaran B / garis asas</t>
  </si>
  <si>
    <t xml:space="preserve">Keluasan kawasan (km²)</t>
  </si>
  <si>
    <t xml:space="preserve">Nisbah keluasan (/ purata sederhana)</t>
  </si>
  <si>
    <t xml:space="preserve">Skor Pendidikan Awal Kanak-Kanak (dari Senario A)</t>
  </si>
  <si>
    <t xml:space="preserve">Skor Kemahiran (dari Senario A)</t>
  </si>
  <si>
    <t xml:space="preserve">Skor Komuniti (dari Senario A)</t>
  </si>
  <si>
    <t xml:space="preserve">Skor Pengurusan (dari Senario A)</t>
  </si>
  <si>
    <t xml:space="preserve">INDEKS KOMPOSIT SENARIO B</t>
  </si>
  <si>
    <t xml:space="preserve">Kedudukan B (1 = beban tertinggi daripada 9)</t>
  </si>
  <si>
    <t xml:space="preserve">Indeks Senario A (rujukan)</t>
  </si>
  <si>
    <t xml:space="preserve">Beza (B - A)</t>
  </si>
  <si>
    <t xml:space="preserve">RASIONAL SENARIO B</t>
  </si>
  <si>
    <t xml:space="preserve">1  MENGAPA KELUASAN</t>
  </si>
  <si>
    <t xml:space="preserve">Kerangka HQ mengukur volum (kelas, guru, peserta, perjawatan) tetapi tidak mengukur jarak dan liputan. Negeri besar menanggung kos masa dan logistik penyeliaan yang jauh lebih tinggi bagi setiap unit volum (perjalanan darat, sungai dan udara; kawasan pedalaman).</t>
  </si>
  <si>
    <t xml:space="preserve">2  STATUS CADANGAN</t>
  </si>
  <si>
    <t xml:space="preserve">Senario B ialah cadangan Kumpulan 4 dan bukan sebahagian kerangka HQ asal. Wajaran keluasan boleh diubah di sheet Ringkasan (sel W_GEO).</t>
  </si>
  <si>
    <t xml:space="preserve">3  UJI KEPEKAAN</t>
  </si>
  <si>
    <t xml:space="preserve">Nisbah keluasan Sarawak dan Sabah sangat tinggi. Uji Had nisbah = 3.0 di sheet Ringkasan untuk melihat senario yang lebih konservatif.</t>
  </si>
  <si>
    <t xml:space="preserve">DATA 9 NEGERI: NILAI ASAL HQ, SUMBER NASIONAL, SUMBER NEGERI DAN NILAI GUNA</t>
  </si>
  <si>
    <t xml:space="preserve">Biru = input keras disalin daripada sumber | Hitam = formula | Hijau = pautan dari sheet lain | Kelabu = tidak berkenaan. [BELUM ADA] = data negeri besar belum dikemukakan (diminta melalui Borang Negeri). Suis Sumber garis asas di sheet Ringkasan. Setiap blok berwarna berbeza untuk memudahkan rujukan.</t>
  </si>
  <si>
    <t xml:space="preserve">Sumber / catatan</t>
  </si>
  <si>
    <t xml:space="preserve">A. NILAI ASAL FAIL HQ (5 negeri sederhana; dibersihkan untuk pengiraan, teks asal dikekalkan jika bukan angka)</t>
  </si>
  <si>
    <t xml:space="preserve">HQ Sheet6.</t>
  </si>
  <si>
    <t xml:space="preserve">HQ Sheet6. Kelantan: formula HQ =734+37 (771).</t>
  </si>
  <si>
    <t xml:space="preserve">HQ Sheet6. Terengganu: teks HQ '18,258' ditukar kepada nombor. Kelantan: formula HQ =16440-717 (15,723).</t>
  </si>
  <si>
    <t xml:space="preserve">HQ Sheet6. Terengganu: teks HQ '594' ditukar kepada nombor.</t>
  </si>
  <si>
    <t xml:space="preserve">HQ Sheet6. HQ bercampur: Selangor 20 = kuota PPPAK; Pahang 19 = pengisian; Kedah 16 tidak sepadan (kuota 17, pengisian 15).</t>
  </si>
  <si>
    <t xml:space="preserve">HQ Sheet6. Terengganu: HQ '≥82*' dibaca 82 (had bawah).</t>
  </si>
  <si>
    <t xml:space="preserve">HQ Sheet6. Pahang: teks HQ '1,338,885.542*' dibaca sebagai nombor.</t>
  </si>
  <si>
    <t xml:space="preserve">Tidak dinyatakan</t>
  </si>
  <si>
    <t xml:space="preserve">Tidak diasingkan</t>
  </si>
  <si>
    <t xml:space="preserve">HQ Sheet6. Terengganu: HQ '≥54*' dibaca 54 (had bawah).</t>
  </si>
  <si>
    <t xml:space="preserve">Tiada data</t>
  </si>
  <si>
    <t xml:space="preserve">HQ Sheet6. Hanya Selangor dan Kelantan ada nilai dalam HQ.</t>
  </si>
  <si>
    <t xml:space="preserve">Tiada jumlah negeri</t>
  </si>
  <si>
    <t xml:space="preserve">HQ Sheet6. Pahang: harta modal 1,621 + aset bernilai rendah 36,295 = 37,916 item (RM6,387,714.44 + RM8,877,928.52).</t>
  </si>
  <si>
    <t xml:space="preserve">HQ Sheet6. Pahang dan Kelantan sahaja.</t>
  </si>
  <si>
    <t xml:space="preserve">HQ Sheet6. Pahang dan Kelantan sahaja (RM).</t>
  </si>
  <si>
    <t xml:space="preserve">HQ Sheet6. Pahang: HQ '3568 (RM21,395,977.75)' dibaca 3,568 baucer.</t>
  </si>
  <si>
    <t xml:space="preserve">HQ Sheet6. Kedah '250 (PAK sahaja)'; Pahang '≥259*'; Terengganu '≥184*' dibaca sebagai angka.</t>
  </si>
  <si>
    <t xml:space="preserve">B. SUMBER NASIONAL (satu sumber yang sama untuk semua negeri; kosong = tiada sumber nasional)</t>
  </si>
  <si>
    <t xml:space="preserve">BPAK Data Kelas TABIKA 2026 (kemas kini Mei 2026): Bilangan Kelas.</t>
  </si>
  <si>
    <t xml:space="preserve">BPAK Data Kelas TASKA 2026 (Mei 2026): Bilangan Kelas. Pahang 36 (HQ 35).</t>
  </si>
  <si>
    <t xml:space="preserve">BPAK Data Kelas TABIKA 2026: jumlah PM gred S5 + S1 (kontrak + JSKT).</t>
  </si>
  <si>
    <t xml:space="preserve">BPAK Data Kelas TASKA 2026: jumlah PM gred S5 + S1 (kontrak + JSKT).</t>
  </si>
  <si>
    <t xml:space="preserve">Tiada sumber nasional.</t>
  </si>
  <si>
    <t xml:space="preserve">PPPAK Rumusan Pengisian 2026: lajur Pengisian (penyelia yang ada).</t>
  </si>
  <si>
    <t xml:space="preserve">PKEM 2026 sheet PREMIS: bilangan rekod kelas (Nama Kelas). Lajur BIL KUMP / KELAS tidak seragam dan tidak digunakan.</t>
  </si>
  <si>
    <t xml:space="preserve">PKEM 2026 sheet PM: bilangan PM (tidak termasuk rekod kosong; Kelantan 1 kosong).</t>
  </si>
  <si>
    <t xml:space="preserve">PKEM 2026 sheet PREMIS: jumlah Bilangan Peserta. Kelas tanpa angka peserta: lihat Bahagian F.</t>
  </si>
  <si>
    <t xml:space="preserve">DOSM (OpenDOSM population_state): anggaran penduduk semasa 2023, ribu x 1,000.</t>
  </si>
  <si>
    <t xml:space="preserve">C. SUMBER NEGERI BESAR (Lampiran 1 dan 3/4 negeri, Kertas Cadangan v2.3, Borang Negeri)</t>
  </si>
  <si>
    <t xml:space="preserve">Guna sumber nasional.</t>
  </si>
  <si>
    <t xml:space="preserve">Borang Negeri B1. L4 hanya merekod Pembantu PM gred H1 (takrif tidak setara).</t>
  </si>
  <si>
    <t xml:space="preserve">Borang Negeri B2.</t>
  </si>
  <si>
    <t xml:space="preserve">Borang Negeri B3.</t>
  </si>
  <si>
    <t xml:space="preserve">Sabah: pengesahan terus negeri (Sept 2026), menggantikan anggaran PKEM bagi Sabah sahaja.</t>
  </si>
  <si>
    <t xml:space="preserve">Borang Negeri B4.</t>
  </si>
  <si>
    <t xml:space="preserve">L1 Profil Negeri (jumlah semua DUN). Sabah = jumlah L1 yang ada + daerah yang diisi dalam Borang bahagian B.</t>
  </si>
  <si>
    <t xml:space="preserve">Borang Negeri B5.</t>
  </si>
  <si>
    <t xml:space="preserve">Borang Negeri B6.</t>
  </si>
  <si>
    <t xml:space="preserve">Borang Negeri B7 (bilangan item).</t>
  </si>
  <si>
    <t xml:space="preserve">Borang Negeri B9.</t>
  </si>
  <si>
    <t xml:space="preserve">Borang Negeri B10 (RM).</t>
  </si>
  <si>
    <t xml:space="preserve">Borang Negeri B11 (RM).</t>
  </si>
  <si>
    <t xml:space="preserve">Borang Negeri B12.</t>
  </si>
  <si>
    <t xml:space="preserve">Borang Negeri B14.</t>
  </si>
  <si>
    <t xml:space="preserve">Kertas Cadangan v2.3: L3 (Sarawak, Perak); anggaran L4 (Johor, Sabah; Sabah belum disahkan). Borang B15 menggantikan jika diisi.</t>
  </si>
  <si>
    <t xml:space="preserve">D. NILAI GUNA (dipacu suis Sumber garis asas). Sheet skor merujuk blok ini sahaja.</t>
  </si>
  <si>
    <t xml:space="preserve">E. GEOGRAFI (Senario B)</t>
  </si>
  <si>
    <t xml:space="preserve">G.1</t>
  </si>
  <si>
    <t xml:space="preserve">Geografi</t>
  </si>
  <si>
    <t xml:space="preserve">Negeri besar: Kertas Cadangan v2.3 Jadual 5. Negeri sederhana: Wikipedia, States and federal territories of Malaysia. Alternatif: Sabah 73,631 (Wikipedia); Johor 19,730 (L1 Johor).</t>
  </si>
  <si>
    <t xml:space="preserve">F. INPUT BANTUAN DAN SEMAKAN KUALITI DATA</t>
  </si>
  <si>
    <t xml:space="preserve">F</t>
  </si>
  <si>
    <t xml:space="preserve">Sabah L1: jumlah kampung DUN yang ada data</t>
  </si>
  <si>
    <t xml:space="preserve">L1 Sabah: Papar, Tenom, Sandakan dan Lahad Datu kosong; kampung Semporna kosong. Had bawah.</t>
  </si>
  <si>
    <t xml:space="preserve">Sabah L1: jumlah penduduk DUN yang ada data</t>
  </si>
  <si>
    <t xml:space="preserve">L1 Sabah (nilai 52'812 dan 148'791 dibaca 52,812 dan 148,791). Had bawah.</t>
  </si>
  <si>
    <t xml:space="preserve">Sabah: status data kampung</t>
  </si>
  <si>
    <t xml:space="preserve">Lengkap apabila 5 daerah diisi dalam Borang bahagian B.</t>
  </si>
  <si>
    <t xml:space="preserve">Sabah: status data penduduk (L1)</t>
  </si>
  <si>
    <t xml:space="preserve">Lengkap apabila 4 daerah diisi dalam Borang bahagian B.</t>
  </si>
  <si>
    <t xml:space="preserve">Perjawatan: jumlah personel (Kertas Cadangan)</t>
  </si>
  <si>
    <t xml:space="preserve">Sarawak 2,032 dan Perak 1,223 (L3); Johor 1,508 dan Sabah 2,146 (anggaran L4, Sabah belum disahkan).</t>
  </si>
  <si>
    <t xml:space="preserve">Perjawatan: status</t>
  </si>
  <si>
    <t xml:space="preserve">Berubah kepada Disahkan (Borang) apabila Borang B15 diisi.</t>
  </si>
  <si>
    <t xml:space="preserve">DOSM 2026: penduduk (juta, dibundarkan)</t>
  </si>
  <si>
    <t xml:space="preserve">Rujukan semakan: DOSM Anggaran Penduduk Semasa 2026 (keluaran 31 Julai 2026), dibundarkan 0.1 juta. Tidak digunakan dalam skor.</t>
  </si>
  <si>
    <t xml:space="preserve">PKEM: kelas tanpa angka peserta (bil.)</t>
  </si>
  <si>
    <t xml:space="preserve">Had kualiti data 2.4: peserta Selangor (65 daripada 120 kelas tanpa angka) dan Pahang mungkin terkurang.</t>
  </si>
  <si>
    <t xml:space="preserve">L4: Pembantu PM gred H1 (rujukan)</t>
  </si>
  <si>
    <t xml:space="preserve">Tidak setara dengan takrif pembantu HQ; tidak diskor (Sabah: lajur JUMLAH L4 tidak konsisten).</t>
  </si>
  <si>
    <t xml:space="preserve">BORANG NEGERI: DATA TAMBAHAN UNTUK KERANGKA WAJARAN HQ</t>
  </si>
  <si>
    <t xml:space="preserve">Untuk diisi oleh KEMAS Negeri Sarawak, Sabah, Johor dan Perak. Hantar semula kepada urus setia Kumpulan 4. Nilai yang diisi terus dikira dalam Matriks dan skor.</t>
  </si>
  <si>
    <t xml:space="preserve">CARA MENGISI</t>
  </si>
  <si>
    <t xml:space="preserve">Isi sel KUNING sahaja (satu lajur bagi setiap negeri). Sel lain mengandungi label atau formula.</t>
  </si>
  <si>
    <t xml:space="preserve">Masukkan nombor sahaja: tanpa koma, teks, RM atau simbol (contoh: 25695, bukan "25,695 orang").</t>
  </si>
  <si>
    <t xml:space="preserve">Jika data tiada, biarkan kosong dan nyatakan sebabnya dalam lajur Catatan negeri.</t>
  </si>
  <si>
    <t xml:space="preserve">Ikut takrif dan tempoh rujukan dalam setiap baris supaya setara dengan data negeri sederhana dalam fail HQ.</t>
  </si>
  <si>
    <t xml:space="preserve">Sub-kriteria dimasukkan ke dalam skor secara automatik apabila keempat-empat negeri besar mengisi baris itu dan garis asas HQ sah.</t>
  </si>
  <si>
    <t xml:space="preserve">BAHAGIAN A: DATA SUB-KRITERIA (negeri besar)</t>
  </si>
  <si>
    <t xml:space="preserve">Kod HQ</t>
  </si>
  <si>
    <t xml:space="preserve">Takrif (ikut HQ)</t>
  </si>
  <si>
    <t xml:space="preserve">Unit</t>
  </si>
  <si>
    <t xml:space="preserve">Tempoh rujukan</t>
  </si>
  <si>
    <t xml:space="preserve">Status</t>
  </si>
  <si>
    <t xml:space="preserve">Catatan negeri</t>
  </si>
  <si>
    <t xml:space="preserve">Contoh</t>
  </si>
  <si>
    <t xml:space="preserve">Jumlah murid berdaftar di semua kelas TABIKA negeri.</t>
  </si>
  <si>
    <t xml:space="preserve">orang</t>
  </si>
  <si>
    <t xml:space="preserve">Enrolmen semasa 2026</t>
  </si>
  <si>
    <t xml:space="preserve">Contoh format sahaja (angka Selangor dalam fail HQ). Jangan isi baris ini.</t>
  </si>
  <si>
    <t xml:space="preserve">B1</t>
  </si>
  <si>
    <t xml:space="preserve">Bilangan pembantu (ikut takrif HQ)</t>
  </si>
  <si>
    <t xml:space="preserve">Jumlah pembantu di bawah penyeliaan TABIKA dan TASKA (Pembantu Pengasuh / PPM dan seumpamanya), setara takrif HQ (lebih kurang 1 bagi setiap kelas).</t>
  </si>
  <si>
    <t xml:space="preserve">Semasa (Sept 2026)</t>
  </si>
  <si>
    <t xml:space="preserve">B2</t>
  </si>
  <si>
    <t xml:space="preserve">B3</t>
  </si>
  <si>
    <t xml:space="preserve">Jumlah kanak-kanak berdaftar di semua TASKA negeri.</t>
  </si>
  <si>
    <t xml:space="preserve">B4</t>
  </si>
  <si>
    <t xml:space="preserve">Bilangan program / aktiviti kemahiran</t>
  </si>
  <si>
    <t xml:space="preserve">Jumlah program kemahiran yang dirancang, diselaras dan dipantau oleh negeri (selain kelas tetap PKEM).</t>
  </si>
  <si>
    <t xml:space="preserve">bil.</t>
  </si>
  <si>
    <t xml:space="preserve">Tahun 2025 (penuh)</t>
  </si>
  <si>
    <t xml:space="preserve">Perak: Kemas kini 23 Sept 2026 (v1.3).</t>
  </si>
  <si>
    <t xml:space="preserve">B5</t>
  </si>
  <si>
    <t xml:space="preserve">Bilangan aktiviti / program komuniti</t>
  </si>
  <si>
    <t xml:space="preserve">Jumlah aktiviti dan program pembangunan komuniti yang dilaksanakan dan dipantau.</t>
  </si>
  <si>
    <t xml:space="preserve">B6</t>
  </si>
  <si>
    <t xml:space="preserve">Bilangan peserta aktiviti / program komuniti</t>
  </si>
  <si>
    <t xml:space="preserve">Jumlah peserta aktiviti dan program komuniti.</t>
  </si>
  <si>
    <t xml:space="preserve">B7</t>
  </si>
  <si>
    <t xml:space="preserve">Aset alih: bilangan item</t>
  </si>
  <si>
    <t xml:space="preserve">Jumlah item aset alih berdaftar (harta modal + aset bernilai rendah).</t>
  </si>
  <si>
    <t xml:space="preserve">item</t>
  </si>
  <si>
    <t xml:space="preserve">Daftar semasa (Sept 2026)</t>
  </si>
  <si>
    <t xml:space="preserve">Sarawak: Data asal negeri: "28630 UNIT RM14,113,600.64". Bilangan item = 28,630; nilai RM dipindah ke B8.  |  Sabah: Data asal negeri: Harta Modal 1,747 kad (RM 6,992,781.19) + Aset Bernilai Rendah 34,922 kad (RM 7,955,012.18). Jumlah item = 36,669; jumlah nilai RM dipindah ke B8.  |  Perak: Kemas kini 23 Sept 2026 (v1.3). Data asal negeri: "30408 / RM13,265,277.43". Bilangan item = 30,408; nilai RM dipindah ke B8.</t>
  </si>
  <si>
    <t xml:space="preserve">B8</t>
  </si>
  <si>
    <t xml:space="preserve">Aset alih: nilai perolehan (maklumat sahaja)</t>
  </si>
  <si>
    <t xml:space="preserve">Jumlah nilai perolehan aset alih (harta modal + aset bernilai rendah). Tidak diskor.</t>
  </si>
  <si>
    <t xml:space="preserve">RM</t>
  </si>
  <si>
    <t xml:space="preserve">Perak: Kemas kini 23 Sept 2026 (v1.3): nilai RM aset alih daripada data asal B7 Perak.</t>
  </si>
  <si>
    <t xml:space="preserve">B9</t>
  </si>
  <si>
    <t xml:space="preserve">Aset tidak alih: bilangan</t>
  </si>
  <si>
    <t xml:space="preserve">Jumlah premis, bangunan dan tanah di bawah tanggungjawab negeri.</t>
  </si>
  <si>
    <t xml:space="preserve">unit</t>
  </si>
  <si>
    <t xml:space="preserve">Sarawak: Data asal negeri: "Tiada jumlah negeri" - negeri belum ada angka premis keseluruhan. TIDAK diisi; perlu angka sebenar daripada negeri.  |  Sabah: Data asal negeri: Milikan 245 buah + Tumpang 717 buah + Sewa 60 buah. Jumlah = 1,022 premis.  |  Perak: Kemas kini 23 Sept 2026 (v1.3).</t>
  </si>
  <si>
    <t xml:space="preserve">B10</t>
  </si>
  <si>
    <t xml:space="preserve">Bajet mengurus (OE)</t>
  </si>
  <si>
    <t xml:space="preserve">Jumlah peruntukan mengurus negeri (termasuk agihan ke daerah).</t>
  </si>
  <si>
    <t xml:space="preserve">Peruntukan 2026 (tahun sama dengan data HQ)</t>
  </si>
  <si>
    <t xml:space="preserve">Sarawak: Data asal negeri (teks) "RM6,896,060.15"; ditukar kepada nombor.  |  Perak: Kemas kini 23 Sept 2026 (v1.3).</t>
  </si>
  <si>
    <t xml:space="preserve">B11</t>
  </si>
  <si>
    <t xml:space="preserve">Bajet pembangunan (DE)</t>
  </si>
  <si>
    <t xml:space="preserve">Jumlah peruntukan pembangunan negeri.</t>
  </si>
  <si>
    <t xml:space="preserve">Sarawak: Data asal negeri (teks) "RM8,351,734.15"; ditukar kepada nombor.  |  Perak: Kemas kini 23 Sept 2026 (v1.3).</t>
  </si>
  <si>
    <t xml:space="preserve">B12</t>
  </si>
  <si>
    <t xml:space="preserve">Bilangan baucer</t>
  </si>
  <si>
    <t xml:space="preserve">Jumlah baucer bayaran yang diproses bagi agihan dan pemantauan peruntukan ke daerah.</t>
  </si>
  <si>
    <t xml:space="preserve">Sarawak: Kemas kini 23 Sept 2026 (v1.3): 15,000. Data asal (v1.2) dihantar sebagai julat "10-15K" dan tidak diskor ketika itu; angka 15,000 kini digunakan.  |  Sabah: Data asal negeri: "3,997 (RM 18,764,492.38)". Bilangan = 3,997; nilai RM dipindah ke B13.  |  Perak: Kemas kini 23 Sept 2026 (v1.3).</t>
  </si>
  <si>
    <t xml:space="preserve">B13</t>
  </si>
  <si>
    <t xml:space="preserve">Nilai baucer (maklumat sahaja)</t>
  </si>
  <si>
    <t xml:space="preserve">Jumlah nilai baucer di atas. Tidak diskor.</t>
  </si>
  <si>
    <t xml:space="preserve">B14</t>
  </si>
  <si>
    <t xml:space="preserve">Jumlah projek dan program yang sedang berjalan dan memerlukan penyelarasan, pemantauan dan pelaporan.</t>
  </si>
  <si>
    <t xml:space="preserve">Tahun 2026 (sedang berjalan)</t>
  </si>
  <si>
    <t xml:space="preserve">Johor: Data asal negeri: "46 Projek, 657 PO". Hanya 46 (Projek) digunakan; "PO" tidak termasuk takrif "projek dan program" dan maksudnya belum disahkan - sila sahkan sama ada perlu dikira.  |  Perak: Kemas kini 23 Sept 2026 (v1.3).</t>
  </si>
  <si>
    <t xml:space="preserve">B15</t>
  </si>
  <si>
    <t xml:space="preserve">Pengesahan jumlah personel</t>
  </si>
  <si>
    <t xml:space="preserve">Jumlah semua personel negeri (tetap, kontrak dan JSKT, termasuk PM). Jika diisi, menggantikan angka Kertas Cadangan.</t>
  </si>
  <si>
    <t xml:space="preserve">BAHAGIAN B: LENGKAPKAN LAMPIRAN 1 SABAH (daerah yang belum diisi)</t>
  </si>
  <si>
    <t xml:space="preserve">Daerah (Sabah)</t>
  </si>
  <si>
    <t xml:space="preserve">Anggaran penduduk</t>
  </si>
  <si>
    <t xml:space="preserve">Catatan</t>
  </si>
  <si>
    <t xml:space="preserve">Papar</t>
  </si>
  <si>
    <t xml:space="preserve">Tenom</t>
  </si>
  <si>
    <t xml:space="preserve">Sandakan</t>
  </si>
  <si>
    <t xml:space="preserve">Lahad Datu</t>
  </si>
  <si>
    <t xml:space="preserve">Semporna</t>
  </si>
  <si>
    <t xml:space="preserve">Sudah ada dalam L1</t>
  </si>
  <si>
    <t xml:space="preserve">Penduduk Semporna sudah dilaporkan dalam L1; hanya bilangan kampung kosong.</t>
  </si>
  <si>
    <t xml:space="preserve">BAHAGIAN C: STATUS KESELURUHAN</t>
  </si>
  <si>
    <t xml:space="preserve">Item bahagian A yang lengkap (4 negeri)</t>
  </si>
  <si>
    <t xml:space="preserve">Sub-kriteria HQ yang kini diskor</t>
  </si>
  <si>
    <t xml:space="preserve">Nota</t>
  </si>
  <si>
    <t xml:space="preserve">Item 3.4 dan 4.1 hingga 4.5 juga memerlukan HQ melengkapkan data negeri sederhana (kini kurang daripada 3 negeri) sebelum boleh diskor.</t>
  </si>
  <si>
    <t xml:space="preserve">KAEDAH DAN SUMBER</t>
  </si>
  <si>
    <t xml:space="preserve">Rujukan penuh bagi pengiraan, sumber data, had dan isu dalam fail HQ. Warna jalur dan label membezakan jenis maklumat.</t>
  </si>
  <si>
    <t xml:space="preserve">1. TUJUAN</t>
  </si>
  <si>
    <t xml:space="preserve">Menggunakan kerangka wajaran HQ (fail HQ - wajaran negeri sederhana v3, Sheet6) ke atas empat negeri besar, iaitu Sarawak, Sabah, Johor dan Perak, bagi menjustifikasikan penstrukturan perjawatan. Negeri sederhana dalam fail HQ (Selangor, Kedah, Pahang, Terengganu dan Kelantan) dijadikan garis asas perbandingan.</t>
  </si>
  <si>
    <t xml:space="preserve">2. KAEDAH PENGIRAAN</t>
  </si>
  <si>
    <t xml:space="preserve">Warna label ikut fasa: biru = penyediaan data, hijau = pengiraan, emas = senario, oren = semakan, ungu = tafsiran.</t>
  </si>
  <si>
    <t xml:space="preserve">Langkah</t>
  </si>
  <si>
    <t xml:space="preserve">Perkara</t>
  </si>
  <si>
    <t xml:space="preserve">Nilai guna</t>
  </si>
  <si>
    <t xml:space="preserve">Setiap sub-kriteria diambil daripada sumber nasional jika ada (suis Nasional). Dengan suis Data HQ, negeri sederhana guna nilai dalam fail HQ dan negeri besar guna data negeri (L1) atau sumber nasional jika data negeri tiada.</t>
  </si>
  <si>
    <t xml:space="preserve">Garis asas</t>
  </si>
  <si>
    <t xml:space="preserve">Garis asas = purata nilai guna 5 negeri sederhana. Garis asas sah hanya jika sekurang-kurangnya n negeri sederhana (parameter, lalai 3) mempunyai nilai berangka.</t>
  </si>
  <si>
    <t xml:space="preserve">Kelayakan sub-kriteria</t>
  </si>
  <si>
    <t xml:space="preserve">Sub-kriteria dimasukkan ke dalam skor jika garis asas sah dan keempat-empat negeri besar mempunyai data. Syarat ini memastikan semua 9 negeri dibandingkan atas set sub-kriteria yang sama. Lajur Paksa di sheet Skor Senario A membolehkan pengecualian manual.</t>
  </si>
  <si>
    <t xml:space="preserve">Nisbah</t>
  </si>
  <si>
    <t xml:space="preserve">Nisbah = nilai negeri / garis asas, dihadkan kepada parameter Had nisbah (lalai 99 = tiada had).</t>
  </si>
  <si>
    <t xml:space="preserve">Skor kriteria</t>
  </si>
  <si>
    <t xml:space="preserve">Skor kriteria = purata nisbah sub-kriteria yang dimasukkan dalam kriteria itu.</t>
  </si>
  <si>
    <t xml:space="preserve">Indeks komposit A</t>
  </si>
  <si>
    <t xml:space="preserve">Indeks komposit Senario A = jumlah (wajaran x skor kriteria) / jumlah wajaran kriteria yang ada skor. Wajaran HQ: PAKK 20%, Kemahiran 15%, Komuniti 15%, Pengurusan 50%.</t>
  </si>
  <si>
    <t xml:space="preserve">Senario B</t>
  </si>
  <si>
    <t xml:space="preserve">Faktor keluasan kawasan (lalai 10%) ditambah dan wajaran HQ didarab (1 - 10%), iaitu PAKK 18%, Kemahiran 13.5%, Komuniti 13.5%, Pengurusan 45%. Nisbah keluasan = keluasan negeri / purata keluasan negeri sederhana.</t>
  </si>
  <si>
    <t xml:space="preserve">Jumlah bagi setiap kriteria: wajaran x (sub-kriteria diskor / jumlah sub-kriteria kriteria itu). Contoh: 11 daripada 23 sub-kriteria diskor memberi liputan 38.4%.</t>
  </si>
  <si>
    <t xml:space="preserve">Indeks yang dikira semula atas PAKK, Kemahiran dan Komuniti sahaja (wajaran dinormalkan semula), sebagai semakan kepekaan.</t>
  </si>
  <si>
    <t xml:space="preserve">Tafsiran</t>
  </si>
  <si>
    <t xml:space="preserve">Indeks 1.00 = setara purata negeri sederhana; 2.00 = dua kali ganda. Kedudukan 1 = beban tertinggi dalam kalangan 9 negeri.</t>
  </si>
  <si>
    <t xml:space="preserve">3. PARAMETER (sheet Ringkasan, sel kuning)</t>
  </si>
  <si>
    <t xml:space="preserve">Nama sel</t>
  </si>
  <si>
    <t xml:space="preserve">Keterangan</t>
  </si>
  <si>
    <t xml:space="preserve">Nilai lalai</t>
  </si>
  <si>
    <t xml:space="preserve">P_SUMBER</t>
  </si>
  <si>
    <t xml:space="preserve">Sumber garis asas: Nasional (lalai) atau Data HQ.</t>
  </si>
  <si>
    <t xml:space="preserve">P_HAD</t>
  </si>
  <si>
    <t xml:space="preserve">Had nisbah maksimum (99 = tiada had; uji 3.0).</t>
  </si>
  <si>
    <t xml:space="preserve">99</t>
  </si>
  <si>
    <t xml:space="preserve">P_MINN</t>
  </si>
  <si>
    <t xml:space="preserve">Minimum negeri sederhana untuk garis asas sah.</t>
  </si>
  <si>
    <t xml:space="preserve">3</t>
  </si>
  <si>
    <t xml:space="preserve">W_PAKK, W_KEM, W_KOM, W_PENG</t>
  </si>
  <si>
    <t xml:space="preserve">Wajaran HQ bagi empat kriteria. Jumlah mesti 100%.</t>
  </si>
  <si>
    <t xml:space="preserve">20% / 15% / 15% / 50%</t>
  </si>
  <si>
    <t xml:space="preserve">W_GEO</t>
  </si>
  <si>
    <t xml:space="preserve">Wajaran keluasan dalam Senario B.</t>
  </si>
  <si>
    <t xml:space="preserve">10%</t>
  </si>
  <si>
    <t xml:space="preserve">4. SUMBER DATA</t>
  </si>
  <si>
    <t xml:space="preserve">Warna kod ikut jenis sumber: biru tua = HQ, hijau = sumber nasional, oren = data negeri dan Kertas Cadangan, ungu = rujukan awam.</t>
  </si>
  <si>
    <t xml:space="preserve">Sumber</t>
  </si>
  <si>
    <t xml:space="preserve">Butiran</t>
  </si>
  <si>
    <t xml:space="preserve">Tarikh data</t>
  </si>
  <si>
    <t xml:space="preserve">Digunakan untuk</t>
  </si>
  <si>
    <t xml:space="preserve">HQ</t>
  </si>
  <si>
    <t xml:space="preserve">HQ - wajaran negeri sederhana v3.xlsx (Sheet6)</t>
  </si>
  <si>
    <t xml:space="preserve">Kerangka, sub-kriteria, wajaran dan nilai 5 negeri sederhana</t>
  </si>
  <si>
    <t xml:space="preserve">2026</t>
  </si>
  <si>
    <t xml:space="preserve">Wajaran; nilai sederhana (suis Data HQ)</t>
  </si>
  <si>
    <t xml:space="preserve">R33</t>
  </si>
  <si>
    <t xml:space="preserve">BPAK: MAKLUMAT_PM_TABIKA_DAN_TASKA_21092026.xlsx</t>
  </si>
  <si>
    <t xml:space="preserve">Ringkasan negeri: bilangan kelas dan PM TABIKA/TASKA (gred S5 dan S1)</t>
  </si>
  <si>
    <t xml:space="preserve">Kemas kini Mei 2026</t>
  </si>
  <si>
    <t xml:space="preserve">1.1 hingga 1.4</t>
  </si>
  <si>
    <t xml:space="preserve">R34</t>
  </si>
  <si>
    <t xml:space="preserve">PPPAK: SENARAI_PPPAK_4.xlsx (sheet RUMUSAN)</t>
  </si>
  <si>
    <t xml:space="preserve">Kuota, perjawatan dan pengisian PPPAK mengikut negeri</t>
  </si>
  <si>
    <t xml:space="preserve">R35</t>
  </si>
  <si>
    <t xml:space="preserve">PKEM: Data_PM__Premis_PKEM_Tahun_2026.xlsx</t>
  </si>
  <si>
    <t xml:space="preserve">Rekod kelas (sheet PREMIS), PM (sheet PM) dan peserta; dikira secara agregat</t>
  </si>
  <si>
    <t xml:space="preserve">2.1, 2.3, 2.4</t>
  </si>
  <si>
    <t xml:space="preserve">L1</t>
  </si>
  <si>
    <t xml:space="preserve">Lampiran 1 Profil Negeri (Sarawak, Sabah, Johor, Perak)</t>
  </si>
  <si>
    <t xml:space="preserve">Kampung dan anggaran penduduk mengikut DUN; keluasan</t>
  </si>
  <si>
    <t xml:space="preserve">Bengkel 2026</t>
  </si>
  <si>
    <t xml:space="preserve">3.1; 3.2 (suis Data HQ)</t>
  </si>
  <si>
    <t xml:space="preserve">L3/L4</t>
  </si>
  <si>
    <t xml:space="preserve">Lampiran 3 dan 4 Data Perjawatan (dipetik dalam Kertas Cadangan v2.3)</t>
  </si>
  <si>
    <t xml:space="preserve">Jumlah personel negeri</t>
  </si>
  <si>
    <t xml:space="preserve">DOSM</t>
  </si>
  <si>
    <t xml:space="preserve">OpenDOSM / data.gov.my: Population Table: States (population_state)</t>
  </si>
  <si>
    <t xml:space="preserve">Anggaran penduduk semasa 2023 (ribu), semua negeri</t>
  </si>
  <si>
    <t xml:space="preserve">Siri 2023</t>
  </si>
  <si>
    <t xml:space="preserve">3.2 (suis Nasional)</t>
  </si>
  <si>
    <t xml:space="preserve">DOSM26</t>
  </si>
  <si>
    <t xml:space="preserve">DOSM: Anggaran Penduduk Semasa 2026 (keluaran 31 Julai 2026)</t>
  </si>
  <si>
    <t xml:space="preserve">Ringkasan penduduk negeri (juta, dibundarkan)</t>
  </si>
  <si>
    <t xml:space="preserve">Pertengahan 2026</t>
  </si>
  <si>
    <t xml:space="preserve">Semakan sahaja</t>
  </si>
  <si>
    <t xml:space="preserve">KERTAS</t>
  </si>
  <si>
    <t xml:space="preserve">Kertas Cadangan Model Negeri Besar v2.3, Jadual 5</t>
  </si>
  <si>
    <t xml:space="preserve">Keluasan 4 negeri besar (km²)</t>
  </si>
  <si>
    <t xml:space="preserve">WIKI</t>
  </si>
  <si>
    <t xml:space="preserve">Wikipedia: States and federal territories of Malaysia</t>
  </si>
  <si>
    <t xml:space="preserve">Keluasan negeri sederhana (km²)</t>
  </si>
  <si>
    <t xml:space="preserve">Dicapai Sept 2026</t>
  </si>
  <si>
    <t xml:space="preserve">5. CATATAN DAN HAD DATA</t>
  </si>
  <si>
    <t xml:space="preserve">Warna label ikut kategori: biru = sumber data, ungu = takrif, oren = kualiti data, merah = had bawah atau anggaran, teal = kaedah, hijau = geografi.</t>
  </si>
  <si>
    <t xml:space="preserve">Sumber data</t>
  </si>
  <si>
    <t xml:space="preserve">Nilai HQ bagi negeri sederhana ialah data yang dikemukakan negeri dan tidak selalu sepadan dengan fail nasional (contoh: peserta kemahiran Kedah 234 dalam HQ berbanding 1,107 dalam PKEM; populasi Selangor 3,592,000 dalam HQ berbanding 7,205,300 dalam DOSM 2023). Suis Nasional dijadikan lalai supaya semua 9 negeri diukur dengan sumber yang sama.</t>
  </si>
  <si>
    <t xml:space="preserve">Takrif</t>
  </si>
  <si>
    <t xml:space="preserve">Guru TABIKA/TASKA = jumlah PM gred S5 dan S1 (kontrak dan JSKT) dalam fail BPAK. Penyelia daerah = pengisian PPPAK (bukan kuota).</t>
  </si>
  <si>
    <t xml:space="preserve">Kelas kemahiran = bilangan rekod kelas dalam sheet PREMIS PKEM. Lajur BIL KUMP / KELAS diisi secara tidak seragam antara negeri (contoh: 1/1, KUMP 3, -) dan tidak digunakan.</t>
  </si>
  <si>
    <t xml:space="preserve">Kualiti data</t>
  </si>
  <si>
    <t xml:space="preserve">Peserta PKEM: sebahagian kelas tiada angka peserta (Selangor 65 daripada 120 kelas; Pahang 22). Garis asas nasional bagi peserta mungkin terkurang; bandingkan dengan suis Data HQ.</t>
  </si>
  <si>
    <t xml:space="preserve">Populasi (suis Nasional) = DOSM 2023, tahun terkini dalam siri data terbuka DOSM yang memberi angka tepat untuk semua negeri. Ringkasan DOSM 2026 (dibundarkan 0.1 juta) memberi nisbah yang hampir sama (perbezaan kurang daripada 0.03).</t>
  </si>
  <si>
    <t xml:space="preserve">Takrif populasi HQ ialah penduduk yang menjadi kumpulan sasaran program pembangunan komuniti; negeri mentafsirkannya secara berbeza (angka HQ Selangor kira-kira separuh angka DOSM).</t>
  </si>
  <si>
    <t xml:space="preserve">Had bawah / anggaran</t>
  </si>
  <si>
    <t xml:space="preserve">Sabah: kampung dan penduduk L1 ialah had bawah (Papar, Tenom, Sandakan dan Lahad Datu belum diisi; kampung Semporna kosong). Perjawatan Sabah dan Johor ialah anggaran L4; Sabah belum disahkan.</t>
  </si>
  <si>
    <t xml:space="preserve">Pembantu (1.5): L4 negeri besar hanya merekod Pembantu PM gred H1 (Sarawak 19, Sabah lebih kurang 19, Johor 7, Perak 2), manakala nilai HQ negeri sederhana hampir 1 pembantu bagi setiap kelas. Takrif tidak setara, maka tidak diskor dan diminta melalui Borang B1.</t>
  </si>
  <si>
    <t xml:space="preserve">Kaedah</t>
  </si>
  <si>
    <t xml:space="preserve">Pengurusan (50%) kini diwakili oleh perjawatan (4.7) sahaja. Perjawatan sedia ada boleh dipersoalkan sebagai ukuran beban tugas kerana bersifat kitaran (jawatan sedia ada menjustifikasikan jawatan). Indeks tanpa Pengurusan disediakan sebagai semakan kepekaan.</t>
  </si>
  <si>
    <t xml:space="preserve">Kampung Sarawak (6,906 kampung dan rumah panjang) memberi nisbah yang sangat tinggi berbanding purata negeri sederhana. Uji Had nisbah = 3.0 untuk melihat kesan nilai ekstrem.</t>
  </si>
  <si>
    <t xml:space="preserve">Keluasan negeri besar ikut Kertas Cadangan (Sabah 73,904 km²; Wikipedia 73,631 km²). L1 Johor menyatakan 19,730 km² berbanding 19,210 km² dalam Kertas.</t>
  </si>
  <si>
    <t xml:space="preserve">Status kelas PKEM (aktif atau tidak) tidak diambil kira kerana diisi secara berbeza antara negeri.</t>
  </si>
  <si>
    <t xml:space="preserve">Sumber data (Sept 2026)</t>
  </si>
  <si>
    <t xml:space="preserve">Borang Negeri B1 hingga B6, B10, B11, B12 dan B14 kini diisi lengkap oleh keempat-empat negeri besar (Perak melengkapkan bahagiannya pada 23 Sept 2026, v1.3). B7 (aset alih) belum diisi Johor; B9 (aset tidak alih) belum diisi Sarawak; B13 (nilai RM baucer, maklumat sahaja) hanya Sabah. Baki dikira secara automatik apabila negeri melengkapkannya.</t>
  </si>
  <si>
    <t xml:space="preserve">Aset alih (4.1) dan aset tidak alih (4.2) dikira sebagai JUMLAH kategori yang dilaporkan negeri (contoh Sabah 4.1 = Harta Modal + Aset Bernilai Rendah; Sabah 4.2 = Milikan + Tumpang + Sewa), ikut takrif "jumlah" dalam Borang. Nilai RM berkaitan (maklumat sahaja, tidak diskor) direkod berasingan di B8 dan B13.</t>
  </si>
  <si>
    <t xml:space="preserve">Kemas kini v1.3</t>
  </si>
  <si>
    <t xml:space="preserve">Bilangan Baucer (4.5) Sarawak: dihantar asalnya sebagai julat "10-15K" (tidak diskor dalam v1.2); dikemas kini kepada 15,000 pada 23 Sept 2026 (v1.3) dan kini dimasukkan ke Borang B12. Sub-kriteria 4.5 masih belum diskor kerana garis asas HQ (Pahang sahaja) belum sah.</t>
  </si>
  <si>
    <t xml:space="preserve">Bilangan projek dan program (4.6) Johor dikemukakan sebagai "46 Projek, 657 PO"; hanya 46 (Projek) digunakan kerana "PO" tidak termasuk takrif Borang B14 dan maksudnya belum disahkan.</t>
  </si>
  <si>
    <t xml:space="preserve">Bilangan kelas Kemahiran (2.1) Sabah dikemas kini kepada 543 (pengesahan terus negeri, Sept 2026), menggantikan anggaran sumber nasional PKEM (230) bagi Sabah sahaja; Sarawak, Johor dan Perak kekal guna PKEM kerana belum ada pengesahan negeri.</t>
  </si>
  <si>
    <t xml:space="preserve">Perak melengkapkan Borang B4 (159 program kemahiran), B5 (175 aktiviti komuniti), B6 (8,500 peserta komuniti), B7 (30,408 item aset alih; nilai RM13,265,277.43 direkod di B8), B9 (367 premis), B10 (RM87,049,719 OE), B11 (RM3,038,000 DE), B12 (7,500 baucer) dan B14 (450 projek dan program) pada 23 Sept 2026. Data asal B7 Perak dihantar sebagai "30408 / RM13,265,277.43" dalam satu sel; bilangan dan nilai RM diasingkan ikut takrif B7 dan B8.</t>
  </si>
  <si>
    <t xml:space="preserve">Kesan v1.3: sub-kriteria 2.2, 3.3 dan 4.6 kini diskor (keempat-empat negeri besar ada data dan garis asas sah), menjadikan 17 daripada 23 diskor (liputan berwajaran 60.5%). 4.6 kini menjadi salah satu daripada hanya DUA sub-kriteria Pengurusan yang diskor (bersama 4.7), jadi ia sendiri membawa kira-kira 25% daripada indeks komposit.</t>
  </si>
  <si>
    <t xml:space="preserve">Kepekaan penting: nisbah 4.6 Johor = 0.23 (46 projek berbanding purata 200) menurunkan skor Pengurusan Johor daripada 1.28 kepada 0.75 dan kedudukan Johor daripada #3 (v1.2) kepada #5, manakala Perak naik ke #3. Keputusan ini bergantung sepenuhnya pada tafsiran "46 Projek, 657 PO" Johor; jika PO perlu dikira, kedudukan Johor berubah. Sahkan dengan Johor sebelum keputusan ini digunakan.</t>
  </si>
  <si>
    <t xml:space="preserve">6. ISU DALAM FAIL HQ YANG PERLU DIMAKLUMKAN</t>
  </si>
  <si>
    <t xml:space="preserve">Jenis isu</t>
  </si>
  <si>
    <t xml:space="preserve">Isu dan tindakan dalam matriks ini</t>
  </si>
  <si>
    <t xml:space="preserve">Teks penerangan</t>
  </si>
  <si>
    <t xml:space="preserve">Penerangan 1.4 (guru TASKA) menyebut tenaga pembantu; dibetulkan kepada tenaga pengajar dalam matriks ini (†).</t>
  </si>
  <si>
    <t xml:space="preserve">Penerangan 3.3 (aktiviti/program komuniti) tersalin daripada Kemahiran manakala penerangan 3.4 (peserta) menerangkan aktiviti. Kedua-duanya dibetulkan dalam matriks ini (†).</t>
  </si>
  <si>
    <t xml:space="preserve">Penerangan 4.4 Bajet (DE) kosong dalam fail HQ; dilengkapkan dalam matriks ini (†).</t>
  </si>
  <si>
    <t xml:space="preserve">Data tidak lengkap</t>
  </si>
  <si>
    <t xml:space="preserve">Pengurusan (50%): data negeri sederhana bagi aset alih, aset tidak alih, bajet OE/DE dan baucer hanya ada bagi 1 hingga 2 negeri. Garis asas tidak sah sehingga HQ melengkapkan data negeri sederhana; peserta komuniti (3.4) juga hanya 2 negeri.</t>
  </si>
  <si>
    <t xml:space="preserve">Format nilai</t>
  </si>
  <si>
    <t xml:space="preserve">Nilai bertanda ≥ dan * dalam fail HQ (contoh ≥82*, ≥259*) dibaca sebagai angka had bawah. Nilai teks (contoh 18,258 dan 594) ditukar kepada nombor.</t>
  </si>
  <si>
    <t xml:space="preserve">Takrif bercampur</t>
  </si>
  <si>
    <t xml:space="preserve">Penyelia daerah dalam HQ bercampur antara kuota dan pengisian PPPAK (Selangor 20 = kuota; Pahang 19 = pengisian; Kedah 16 tidak sepadan dengan kuota 17 atau pengisian 15).</t>
  </si>
  <si>
    <t xml:space="preserve">7. SEJARAH VERSI</t>
  </si>
  <si>
    <t xml:space="preserve">Versi</t>
  </si>
  <si>
    <t xml:space="preserve">Tarikh</t>
  </si>
  <si>
    <t xml:space="preserve">Perubahan</t>
  </si>
  <si>
    <t xml:space="preserve">1.0</t>
  </si>
  <si>
    <t xml:space="preserve">23 Sept 2026</t>
  </si>
  <si>
    <t xml:space="preserve">Versi awal. Format HQ untuk 4 negeri besar, skor nisbah Senario A, Senario B keluasan, suis sumber garis asas dan borang negeri.</t>
  </si>
  <si>
    <t xml:space="preserve">Pemurnian paparan: lebar lajur dan balutan teks tanpa limpahan, tinggi baris seragam ikut jadual, jadual naratif berwarna (catatan, petunjuk, kaedah, sumber, had dan isu HQ), penanda ringkas [BELUM ADA] dalam blok D sheet Data. Formula pengiraan dan angka tidak berubah.</t>
  </si>
  <si>
    <t xml:space="preserve">Data negeri sebenar dimasukkan ke sheet Borang Negeri (B1-B3 lengkap 4/4; B4-B14 separa, ikut penghantaran Sarawak/Sabah/Johor/Perak Sept 2026), dengan catatan pembersihan data di lajur Catatan negeri. Bilangan kelas Kemahiran (2.1) Sabah dikemas kini kepada angka disahkan negeri. Dua item (Baucer Sarawak, Projek Johor) dikemukakan dalam format tidak tepat dan sengaja TIDAK dimasukkan ke skor - lihat bahagian 5. Tiada perubahan pada formula, wajaran atau kaedah pengiraan.</t>
  </si>
  <si>
    <t xml:space="preserve">Kemas kini data Perak: Borang B4, B5, B6, B7 (+B8), B9, B10, B11, B12 dan B14 Perak diisi (23 Sept 2026). Bilangan Baucer Sarawak (B12) dikemas kini kepada 15,000 menggantikan julat "10-15K". Kesan: 2.2, 3.3 dan 4.6 kini diskor (17/23; liputan 60.5%); kedudukan Johor dan Perak bertukar (lihat catatan kepekaan di bahagian 5). Tiada perubahan pada formula, wajaran atau kaedah pengiraan.</t>
  </si>
</sst>
</file>

<file path=xl/styles.xml><?xml version="1.0" encoding="utf-8"?>
<styleSheet xmlns="http://schemas.openxmlformats.org/spreadsheetml/2006/main">
  <numFmts count="10">
    <numFmt numFmtId="164" formatCode="General"/>
    <numFmt numFmtId="165" formatCode="0.00"/>
    <numFmt numFmtId="166" formatCode="0"/>
    <numFmt numFmtId="167" formatCode="0.0%"/>
    <numFmt numFmtId="168" formatCode="0.0"/>
    <numFmt numFmtId="169" formatCode="#,##0"/>
    <numFmt numFmtId="170" formatCode="0%"/>
    <numFmt numFmtId="171" formatCode="#,##0.0"/>
    <numFmt numFmtId="172" formatCode="General"/>
    <numFmt numFmtId="173" formatCode="\+0.00;\-0.00;0.00"/>
  </numFmts>
  <fonts count="64">
    <font>
      <sz val="10"/>
      <name val="Arial"/>
      <family val="0"/>
      <charset val="1"/>
    </font>
    <font>
      <sz val="10"/>
      <name val="Arial"/>
      <family val="0"/>
    </font>
    <font>
      <sz val="10"/>
      <name val="Arial"/>
      <family val="0"/>
    </font>
    <font>
      <sz val="10"/>
      <name val="Arial"/>
      <family val="0"/>
    </font>
    <font>
      <b val="true"/>
      <sz val="15"/>
      <color rgb="FF1F3864"/>
      <name val="Arial"/>
      <family val="0"/>
      <charset val="1"/>
    </font>
    <font>
      <i val="true"/>
      <sz val="10"/>
      <color rgb="FF404040"/>
      <name val="Arial"/>
      <family val="0"/>
      <charset val="1"/>
    </font>
    <font>
      <i val="true"/>
      <sz val="9"/>
      <color rgb="FF7F7F7F"/>
      <name val="Arial"/>
      <family val="0"/>
      <charset val="1"/>
    </font>
    <font>
      <b val="true"/>
      <sz val="10.5"/>
      <color rgb="FFFFFFFF"/>
      <name val="Arial"/>
      <family val="0"/>
      <charset val="1"/>
    </font>
    <font>
      <b val="true"/>
      <sz val="10"/>
      <color rgb="FF1F2937"/>
      <name val="Arial"/>
      <family val="0"/>
      <charset val="1"/>
    </font>
    <font>
      <b val="true"/>
      <sz val="10"/>
      <color rgb="FF0000FF"/>
      <name val="Arial"/>
      <family val="0"/>
      <charset val="1"/>
    </font>
    <font>
      <sz val="9"/>
      <color rgb="FF404040"/>
      <name val="Arial"/>
      <family val="0"/>
      <charset val="1"/>
    </font>
    <font>
      <sz val="9"/>
      <color rgb="FF1F2937"/>
      <name val="Arial"/>
      <family val="0"/>
      <charset val="1"/>
    </font>
    <font>
      <b val="true"/>
      <sz val="9"/>
      <color rgb="FFFFFFFF"/>
      <name val="Arial"/>
      <family val="0"/>
      <charset val="1"/>
    </font>
    <font>
      <b val="true"/>
      <sz val="10"/>
      <color rgb="FF008000"/>
      <name val="Arial"/>
      <family val="0"/>
      <charset val="1"/>
    </font>
    <font>
      <sz val="10"/>
      <color rgb="FF008000"/>
      <name val="Arial"/>
      <family val="0"/>
      <charset val="1"/>
    </font>
    <font>
      <sz val="10"/>
      <color rgb="FF1F2937"/>
      <name val="Arial"/>
      <family val="0"/>
      <charset val="1"/>
    </font>
    <font>
      <i val="true"/>
      <sz val="10"/>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b val="true"/>
      <sz val="12"/>
      <color rgb="FF2E74B5"/>
      <name val="Arial"/>
      <family val="0"/>
      <charset val="1"/>
    </font>
    <font>
      <b val="true"/>
      <sz val="11"/>
      <color rgb="FF2E74B5"/>
      <name val="Arial"/>
      <family val="0"/>
      <charset val="1"/>
    </font>
    <font>
      <b val="true"/>
      <sz val="12"/>
      <color rgb="FF008000"/>
      <name val="Arial"/>
      <family val="0"/>
      <charset val="1"/>
    </font>
    <font>
      <sz val="9"/>
      <color rgb="FF008000"/>
      <name val="Arial"/>
      <family val="0"/>
      <charset val="1"/>
    </font>
    <font>
      <b val="true"/>
      <sz val="9"/>
      <color rgb="FF008000"/>
      <name val="Arial"/>
      <family val="0"/>
      <charset val="1"/>
    </font>
    <font>
      <b val="true"/>
      <sz val="12"/>
      <color rgb="FF548235"/>
      <name val="Arial"/>
      <family val="0"/>
      <charset val="1"/>
    </font>
    <font>
      <b val="true"/>
      <sz val="11"/>
      <color rgb="FF548235"/>
      <name val="Arial"/>
      <family val="0"/>
      <charset val="1"/>
    </font>
    <font>
      <b val="true"/>
      <sz val="12"/>
      <color rgb="FFC55A11"/>
      <name val="Arial"/>
      <family val="0"/>
      <charset val="1"/>
    </font>
    <font>
      <b val="true"/>
      <sz val="11"/>
      <color rgb="FFC55A11"/>
      <name val="Arial"/>
      <family val="0"/>
      <charset val="1"/>
    </font>
    <font>
      <b val="true"/>
      <sz val="12"/>
      <color rgb="FF7030A0"/>
      <name val="Arial"/>
      <family val="0"/>
      <charset val="1"/>
    </font>
    <font>
      <b val="true"/>
      <sz val="11"/>
      <color rgb="FF7030A0"/>
      <name val="Arial"/>
      <family val="0"/>
      <charset val="1"/>
    </font>
    <font>
      <b val="true"/>
      <sz val="9"/>
      <color rgb="FF1F3864"/>
      <name val="Arial"/>
      <family val="0"/>
      <charset val="1"/>
    </font>
    <font>
      <i val="true"/>
      <sz val="10"/>
      <color rgb="FFC00000"/>
      <name val="Arial"/>
      <family val="0"/>
      <charset val="1"/>
    </font>
    <font>
      <b val="true"/>
      <sz val="10"/>
      <color rgb="FF375623"/>
      <name val="Arial"/>
      <family val="0"/>
      <charset val="1"/>
    </font>
    <font>
      <b val="true"/>
      <sz val="10"/>
      <color rgb="FF2E74B5"/>
      <name val="Arial"/>
      <family val="0"/>
      <charset val="1"/>
    </font>
    <font>
      <sz val="9"/>
      <color rgb="FF2E74B5"/>
      <name val="Arial"/>
      <family val="0"/>
      <charset val="1"/>
    </font>
    <font>
      <sz val="9.5"/>
      <color rgb="FF1F2937"/>
      <name val="Arial"/>
      <family val="0"/>
      <charset val="1"/>
    </font>
    <font>
      <sz val="10"/>
      <color rgb="FF0000FF"/>
      <name val="Arial"/>
      <family val="0"/>
      <charset val="1"/>
    </font>
    <font>
      <b val="true"/>
      <sz val="10"/>
      <color rgb="FF548235"/>
      <name val="Arial"/>
      <family val="0"/>
      <charset val="1"/>
    </font>
    <font>
      <sz val="9"/>
      <color rgb="FF548235"/>
      <name val="Arial"/>
      <family val="0"/>
      <charset val="1"/>
    </font>
    <font>
      <b val="true"/>
      <sz val="10"/>
      <color rgb="FFC55A11"/>
      <name val="Arial"/>
      <family val="0"/>
      <charset val="1"/>
    </font>
    <font>
      <sz val="9"/>
      <color rgb="FFC55A11"/>
      <name val="Arial"/>
      <family val="0"/>
      <charset val="1"/>
    </font>
    <font>
      <b val="true"/>
      <sz val="10"/>
      <color rgb="FF7030A0"/>
      <name val="Arial"/>
      <family val="0"/>
      <charset val="1"/>
    </font>
    <font>
      <sz val="9"/>
      <color rgb="FF7030A0"/>
      <name val="Arial"/>
      <family val="0"/>
      <charset val="1"/>
    </font>
    <font>
      <b val="true"/>
      <sz val="11"/>
      <color rgb="FF1F2937"/>
      <name val="Arial"/>
      <family val="0"/>
      <charset val="1"/>
    </font>
    <font>
      <b val="true"/>
      <sz val="10"/>
      <color rgb="FF1F7A8C"/>
      <name val="Arial"/>
      <family val="0"/>
      <charset val="1"/>
    </font>
    <font>
      <i val="true"/>
      <sz val="8"/>
      <color rgb="FF0000FF"/>
      <name val="Arial"/>
      <family val="0"/>
      <charset val="1"/>
    </font>
    <font>
      <sz val="9"/>
      <color rgb="FF1F7A8C"/>
      <name val="Arial"/>
      <family val="0"/>
      <charset val="1"/>
    </font>
    <font>
      <b val="true"/>
      <sz val="10"/>
      <color rgb="FF595959"/>
      <name val="Arial"/>
      <family val="0"/>
      <charset val="1"/>
    </font>
    <font>
      <sz val="9"/>
      <color rgb="FF0000FF"/>
      <name val="Arial"/>
      <family val="0"/>
      <charset val="1"/>
    </font>
    <font>
      <i val="true"/>
      <sz val="9"/>
      <color rgb="FF1F2937"/>
      <name val="Arial"/>
      <family val="0"/>
      <charset val="1"/>
    </font>
    <font>
      <i val="true"/>
      <sz val="10"/>
      <color rgb="FF1F2937"/>
      <name val="Arial"/>
      <family val="0"/>
      <charset val="1"/>
    </font>
    <font>
      <i val="true"/>
      <sz val="8"/>
      <color rgb="FF7F7F7F"/>
      <name val="Arial"/>
      <family val="0"/>
      <charset val="1"/>
    </font>
    <font>
      <b val="true"/>
      <sz val="11"/>
      <color rgb="FFFFFFFF"/>
      <name val="Arial"/>
      <family val="0"/>
      <charset val="1"/>
    </font>
    <font>
      <i val="true"/>
      <sz val="9"/>
      <color rgb="FF595959"/>
      <name val="Arial"/>
      <family val="0"/>
      <charset val="1"/>
    </font>
    <font>
      <b val="true"/>
      <sz val="10"/>
      <color rgb="FFB8860B"/>
      <name val="Arial"/>
      <family val="0"/>
      <charset val="1"/>
    </font>
    <font>
      <b val="true"/>
      <sz val="10"/>
      <color rgb="FF1F4E79"/>
      <name val="Arial"/>
      <family val="0"/>
      <charset val="1"/>
    </font>
    <font>
      <b val="true"/>
      <sz val="9"/>
      <color rgb="FF1F4E79"/>
      <name val="Arial"/>
      <family val="0"/>
      <charset val="1"/>
    </font>
    <font>
      <b val="true"/>
      <sz val="9"/>
      <color rgb="FF548235"/>
      <name val="Arial"/>
      <family val="0"/>
      <charset val="1"/>
    </font>
    <font>
      <b val="true"/>
      <sz val="9"/>
      <color rgb="FFC55A11"/>
      <name val="Arial"/>
      <family val="0"/>
      <charset val="1"/>
    </font>
    <font>
      <b val="true"/>
      <sz val="9"/>
      <color rgb="FF7030A0"/>
      <name val="Arial"/>
      <family val="0"/>
      <charset val="1"/>
    </font>
    <font>
      <b val="true"/>
      <sz val="10"/>
      <color rgb="FFC00000"/>
      <name val="Arial"/>
      <family val="0"/>
      <charset val="1"/>
    </font>
    <font>
      <b val="true"/>
      <sz val="10"/>
      <color rgb="FF9C5B36"/>
      <name val="Arial"/>
      <family val="0"/>
      <charset val="1"/>
    </font>
  </fonts>
  <fills count="43">
    <fill>
      <patternFill patternType="none"/>
    </fill>
    <fill>
      <patternFill patternType="gray125"/>
    </fill>
    <fill>
      <patternFill patternType="solid">
        <fgColor rgb="FF1F4E79"/>
        <bgColor rgb="FF1F3864"/>
      </patternFill>
    </fill>
    <fill>
      <patternFill patternType="solid">
        <fgColor rgb="FFE8DDF3"/>
        <bgColor rgb="FFE7E6E6"/>
      </patternFill>
    </fill>
    <fill>
      <patternFill patternType="solid">
        <fgColor rgb="FFFFFF00"/>
        <bgColor rgb="FFFFC000"/>
      </patternFill>
    </fill>
    <fill>
      <patternFill patternType="solid">
        <fgColor rgb="FFF8F4FC"/>
        <bgColor rgb="FFF7F7F7"/>
      </patternFill>
    </fill>
    <fill>
      <patternFill patternType="solid">
        <fgColor rgb="FFFCE4D6"/>
        <bgColor rgb="FFF2E1D5"/>
      </patternFill>
    </fill>
    <fill>
      <patternFill patternType="solid">
        <fgColor rgb="FFFEF7F2"/>
        <bgColor rgb="FFFCF7F3"/>
      </patternFill>
    </fill>
    <fill>
      <patternFill patternType="solid">
        <fgColor rgb="FFD3ECF0"/>
        <bgColor rgb="FFDDEBF7"/>
      </patternFill>
    </fill>
    <fill>
      <patternFill patternType="solid">
        <fgColor rgb="FFF1F8FA"/>
        <bgColor rgb="FFF3F6FB"/>
      </patternFill>
    </fill>
    <fill>
      <patternFill patternType="solid">
        <fgColor rgb="FFDDEBF7"/>
        <bgColor rgb="FFD3ECF0"/>
      </patternFill>
    </fill>
    <fill>
      <patternFill patternType="solid">
        <fgColor rgb="FFF4F9FD"/>
        <bgColor rgb="FFF1F8FA"/>
      </patternFill>
    </fill>
    <fill>
      <patternFill patternType="solid">
        <fgColor rgb="FFE2EFDA"/>
        <bgColor rgb="FFE7E6E6"/>
      </patternFill>
    </fill>
    <fill>
      <patternFill patternType="solid">
        <fgColor rgb="FFF5FAF2"/>
        <bgColor rgb="FFF7F7F7"/>
      </patternFill>
    </fill>
    <fill>
      <patternFill patternType="solid">
        <fgColor rgb="FFE7E6E6"/>
        <bgColor rgb="FFEDEDED"/>
      </patternFill>
    </fill>
    <fill>
      <patternFill patternType="solid">
        <fgColor rgb="FFF7F7F7"/>
        <bgColor rgb="FFF3F6FB"/>
      </patternFill>
    </fill>
    <fill>
      <patternFill patternType="solid">
        <fgColor rgb="FFFFF2CC"/>
        <bgColor rgb="FFFCEEE4"/>
      </patternFill>
    </fill>
    <fill>
      <patternFill patternType="solid">
        <fgColor rgb="FFFFFBEF"/>
        <bgColor rgb="FFFEF7F2"/>
      </patternFill>
    </fill>
    <fill>
      <patternFill patternType="solid">
        <fgColor rgb="FF1F3864"/>
        <bgColor rgb="FF1F4E79"/>
      </patternFill>
    </fill>
    <fill>
      <patternFill patternType="solid">
        <fgColor rgb="FFEAF2FA"/>
        <bgColor rgb="FFF2F2F2"/>
      </patternFill>
    </fill>
    <fill>
      <patternFill patternType="solid">
        <fgColor rgb="FF2E74B5"/>
        <bgColor rgb="FF1F7A8C"/>
      </patternFill>
    </fill>
    <fill>
      <patternFill patternType="solid">
        <fgColor rgb="FF1F7A8C"/>
        <bgColor rgb="FF2E74B5"/>
      </patternFill>
    </fill>
    <fill>
      <patternFill patternType="solid">
        <fgColor rgb="FFC00000"/>
        <bgColor rgb="FFC55A11"/>
      </patternFill>
    </fill>
    <fill>
      <patternFill patternType="solid">
        <fgColor rgb="FFFDF4F4"/>
        <bgColor rgb="FFFCF7F3"/>
      </patternFill>
    </fill>
    <fill>
      <patternFill patternType="solid">
        <fgColor rgb="FF7030A0"/>
        <bgColor rgb="FF595959"/>
      </patternFill>
    </fill>
    <fill>
      <patternFill patternType="solid">
        <fgColor rgb="FFB8860B"/>
        <bgColor rgb="FFC55A11"/>
      </patternFill>
    </fill>
    <fill>
      <patternFill patternType="solid">
        <fgColor rgb="FFC55A11"/>
        <bgColor rgb="FF9C5B36"/>
      </patternFill>
    </fill>
    <fill>
      <patternFill patternType="solid">
        <fgColor rgb="FF595959"/>
        <bgColor rgb="FF5F6B7A"/>
      </patternFill>
    </fill>
    <fill>
      <patternFill patternType="solid">
        <fgColor rgb="FFEFF6E9"/>
        <bgColor rgb="FFF2F2F2"/>
      </patternFill>
    </fill>
    <fill>
      <patternFill patternType="solid">
        <fgColor rgb="FFFCEEE4"/>
        <bgColor rgb="FFFBEDED"/>
      </patternFill>
    </fill>
    <fill>
      <patternFill patternType="solid">
        <fgColor rgb="FFF1EAF8"/>
        <bgColor rgb="FFEDEDED"/>
      </patternFill>
    </fill>
    <fill>
      <patternFill patternType="solid">
        <fgColor rgb="FFF2F2F2"/>
        <bgColor rgb="FFF3F6FB"/>
      </patternFill>
    </fill>
    <fill>
      <patternFill patternType="solid">
        <fgColor rgb="FFEDEDED"/>
        <bgColor rgb="FFF1EAF8"/>
      </patternFill>
    </fill>
    <fill>
      <patternFill patternType="solid">
        <fgColor rgb="FFD9E1F2"/>
        <bgColor rgb="FFDDEBF7"/>
      </patternFill>
    </fill>
    <fill>
      <patternFill patternType="solid">
        <fgColor rgb="FFFBEDED"/>
        <bgColor rgb="FFFCEEE4"/>
      </patternFill>
    </fill>
    <fill>
      <patternFill patternType="solid">
        <fgColor rgb="FFFFFFFF"/>
        <bgColor rgb="FFFFFBEF"/>
      </patternFill>
    </fill>
    <fill>
      <patternFill patternType="solid">
        <fgColor rgb="FF548235"/>
        <bgColor rgb="FF5F6B7A"/>
      </patternFill>
    </fill>
    <fill>
      <patternFill patternType="solid">
        <fgColor rgb="FF5F6B7A"/>
        <bgColor rgb="FF595959"/>
      </patternFill>
    </fill>
    <fill>
      <patternFill patternType="solid">
        <fgColor rgb="FFF3F6FB"/>
        <bgColor rgb="FFF1F8FA"/>
      </patternFill>
    </fill>
    <fill>
      <patternFill patternType="solid">
        <fgColor rgb="FFF8D7D7"/>
        <bgColor rgb="FFF2E1D5"/>
      </patternFill>
    </fill>
    <fill>
      <patternFill patternType="solid">
        <fgColor rgb="FF9C5B36"/>
        <bgColor rgb="FFC55A11"/>
      </patternFill>
    </fill>
    <fill>
      <patternFill patternType="solid">
        <fgColor rgb="FFF2E1D5"/>
        <bgColor rgb="FFFCE4D6"/>
      </patternFill>
    </fill>
    <fill>
      <patternFill patternType="solid">
        <fgColor rgb="FFFCF7F3"/>
        <bgColor rgb="FFFEF7F2"/>
      </patternFill>
    </fill>
  </fills>
  <borders count="1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ck">
        <color rgb="FF7030A0"/>
      </left>
      <right style="thin">
        <color rgb="FFBFBFBF"/>
      </right>
      <top style="thin">
        <color rgb="FFBFBFBF"/>
      </top>
      <bottom style="thin">
        <color rgb="FFBFBFBF"/>
      </bottom>
      <diagonal/>
    </border>
    <border diagonalUp="false" diagonalDown="false">
      <left style="thick">
        <color rgb="FFC55A11"/>
      </left>
      <right style="thin">
        <color rgb="FFBFBFBF"/>
      </right>
      <top style="thin">
        <color rgb="FFBFBFBF"/>
      </top>
      <bottom style="thin">
        <color rgb="FFBFBFBF"/>
      </bottom>
      <diagonal/>
    </border>
    <border diagonalUp="false" diagonalDown="false">
      <left style="thick">
        <color rgb="FF1F7A8C"/>
      </left>
      <right style="thin">
        <color rgb="FFBFBFBF"/>
      </right>
      <top style="thin">
        <color rgb="FFBFBFBF"/>
      </top>
      <bottom style="thin">
        <color rgb="FFBFBFBF"/>
      </bottom>
      <diagonal/>
    </border>
    <border diagonalUp="false" diagonalDown="false">
      <left style="thick">
        <color rgb="FF2E74B5"/>
      </left>
      <right style="thin">
        <color rgb="FFBFBFBF"/>
      </right>
      <top style="thin">
        <color rgb="FFBFBFBF"/>
      </top>
      <bottom style="thin">
        <color rgb="FFBFBFBF"/>
      </bottom>
      <diagonal/>
    </border>
    <border diagonalUp="false" diagonalDown="false">
      <left style="thick">
        <color rgb="FF548235"/>
      </left>
      <right style="thin">
        <color rgb="FFBFBFBF"/>
      </right>
      <top style="thin">
        <color rgb="FFBFBFBF"/>
      </top>
      <bottom style="thin">
        <color rgb="FFBFBFBF"/>
      </bottom>
      <diagonal/>
    </border>
    <border diagonalUp="false" diagonalDown="false">
      <left style="thick">
        <color rgb="FF595959"/>
      </left>
      <right style="thin">
        <color rgb="FFBFBFBF"/>
      </right>
      <top style="thin">
        <color rgb="FFBFBFBF"/>
      </top>
      <bottom style="thin">
        <color rgb="FFBFBFBF"/>
      </bottom>
      <diagonal/>
    </border>
    <border diagonalUp="false" diagonalDown="false">
      <left style="thick">
        <color rgb="FFB8860B"/>
      </left>
      <right style="thin">
        <color rgb="FFBFBFBF"/>
      </right>
      <top style="thin">
        <color rgb="FFBFBFBF"/>
      </top>
      <bottom style="thin">
        <color rgb="FFBFBFBF"/>
      </bottom>
      <diagonal/>
    </border>
    <border diagonalUp="false" diagonalDown="false">
      <left style="thick">
        <color rgb="FF1F4E79"/>
      </left>
      <right style="thin">
        <color rgb="FFBFBFBF"/>
      </right>
      <top style="thin">
        <color rgb="FFBFBFBF"/>
      </top>
      <bottom style="thin">
        <color rgb="FFBFBFBF"/>
      </bottom>
      <diagonal/>
    </border>
    <border diagonalUp="false" diagonalDown="false">
      <left style="thick">
        <color rgb="FF8497B0"/>
      </left>
      <right style="thin">
        <color rgb="FFBFBFBF"/>
      </right>
      <top style="thin">
        <color rgb="FFBFBFBF"/>
      </top>
      <bottom style="thin">
        <color rgb="FFBFBFBF"/>
      </bottom>
      <diagonal/>
    </border>
    <border diagonalUp="false" diagonalDown="false">
      <left style="thick">
        <color rgb="FFC00000"/>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1" shrinkToFit="false"/>
      <protection locked="true" hidden="false"/>
    </xf>
    <xf numFmtId="164" fontId="8" fillId="3" borderId="2" xfId="0" applyFont="true" applyBorder="true" applyAlignment="true" applyProtection="false">
      <alignment horizontal="left" vertical="center" textRotation="0" wrapText="tru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1" shrinkToFit="false"/>
      <protection locked="true" hidden="false"/>
    </xf>
    <xf numFmtId="164" fontId="8" fillId="6" borderId="3" xfId="0" applyFont="true" applyBorder="true" applyAlignment="true" applyProtection="false">
      <alignment horizontal="left" vertical="center" textRotation="0" wrapText="true" indent="1"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1" shrinkToFit="false"/>
      <protection locked="true" hidden="false"/>
    </xf>
    <xf numFmtId="164" fontId="8" fillId="8" borderId="4" xfId="0" applyFont="true" applyBorder="true" applyAlignment="true" applyProtection="false">
      <alignment horizontal="left" vertical="center" textRotation="0" wrapText="true" indent="1"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1" shrinkToFit="false"/>
      <protection locked="true" hidden="false"/>
    </xf>
    <xf numFmtId="164" fontId="8" fillId="10" borderId="5" xfId="0" applyFont="true" applyBorder="true" applyAlignment="true" applyProtection="false">
      <alignment horizontal="left" vertical="center" textRotation="0" wrapText="true" indent="1" shrinkToFit="false"/>
      <protection locked="true" hidden="false"/>
    </xf>
    <xf numFmtId="167" fontId="9" fillId="4"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1" shrinkToFit="false"/>
      <protection locked="true" hidden="false"/>
    </xf>
    <xf numFmtId="164" fontId="8" fillId="12" borderId="6" xfId="0" applyFont="true" applyBorder="true" applyAlignment="true" applyProtection="false">
      <alignment horizontal="left" vertical="center" textRotation="0" wrapText="true" indent="1" shrinkToFit="false"/>
      <protection locked="true" hidden="false"/>
    </xf>
    <xf numFmtId="164" fontId="10" fillId="13" borderId="1" xfId="0" applyFont="true" applyBorder="true" applyAlignment="true" applyProtection="false">
      <alignment horizontal="left" vertical="center" textRotation="0" wrapText="true" indent="1" shrinkToFit="false"/>
      <protection locked="true" hidden="false"/>
    </xf>
    <xf numFmtId="164" fontId="8" fillId="14" borderId="7" xfId="0" applyFont="true" applyBorder="true" applyAlignment="true" applyProtection="false">
      <alignment horizontal="left" vertical="center" textRotation="0" wrapText="true" indent="1"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1" shrinkToFit="false"/>
      <protection locked="true" hidden="false"/>
    </xf>
    <xf numFmtId="164" fontId="8" fillId="16" borderId="8" xfId="0" applyFont="true" applyBorder="true" applyAlignment="true" applyProtection="false">
      <alignment horizontal="left" vertical="center" textRotation="0" wrapText="true" indent="1" shrinkToFit="false"/>
      <protection locked="true" hidden="false"/>
    </xf>
    <xf numFmtId="164" fontId="10" fillId="17" borderId="1" xfId="0" applyFont="true" applyBorder="true" applyAlignment="true" applyProtection="false">
      <alignment horizontal="left" vertical="center" textRotation="0" wrapText="true" indent="1"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8" fillId="19" borderId="9" xfId="0" applyFont="true" applyBorder="true" applyAlignment="true" applyProtection="false">
      <alignment horizontal="general" vertical="center" textRotation="0" wrapText="true" indent="1" shrinkToFit="false"/>
      <protection locked="true" hidden="false"/>
    </xf>
    <xf numFmtId="164" fontId="11" fillId="19" borderId="1" xfId="0" applyFont="true" applyBorder="true" applyAlignment="true" applyProtection="false">
      <alignment horizontal="center" vertical="center" textRotation="0" wrapText="true" indent="0" shrinkToFit="false"/>
      <protection locked="true" hidden="false"/>
    </xf>
    <xf numFmtId="165" fontId="13" fillId="19" borderId="1" xfId="0" applyFont="true" applyBorder="true" applyAlignment="true" applyProtection="false">
      <alignment horizontal="center" vertical="center" textRotation="0" wrapText="true" indent="0" shrinkToFit="false"/>
      <protection locked="true" hidden="false"/>
    </xf>
    <xf numFmtId="166" fontId="14" fillId="19" borderId="1" xfId="0" applyFont="true" applyBorder="true" applyAlignment="true" applyProtection="false">
      <alignment horizontal="center" vertical="center" textRotation="0" wrapText="true" indent="0" shrinkToFit="false"/>
      <protection locked="true" hidden="false"/>
    </xf>
    <xf numFmtId="165" fontId="14" fillId="19" borderId="1" xfId="0" applyFont="true" applyBorder="true" applyAlignment="true" applyProtection="false">
      <alignment horizontal="center" vertical="center" textRotation="0" wrapText="true" indent="0" shrinkToFit="false"/>
      <protection locked="true" hidden="false"/>
    </xf>
    <xf numFmtId="167" fontId="14" fillId="19" borderId="1" xfId="0" applyFont="true" applyBorder="true" applyAlignment="true" applyProtection="false">
      <alignment horizontal="center" vertical="center" textRotation="0" wrapText="true" indent="0" shrinkToFit="false"/>
      <protection locked="true" hidden="false"/>
    </xf>
    <xf numFmtId="164" fontId="15" fillId="0" borderId="10" xfId="0" applyFont="true" applyBorder="true" applyAlignment="true" applyProtection="false">
      <alignment horizontal="general" vertical="center" textRotation="0" wrapText="true" indent="1"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center" textRotation="0" wrapText="true" indent="0" shrinkToFit="false"/>
      <protection locked="true" hidden="false"/>
    </xf>
    <xf numFmtId="164" fontId="8" fillId="16" borderId="8" xfId="0" applyFont="true" applyBorder="true" applyAlignment="true" applyProtection="false">
      <alignment horizontal="general" vertical="center" textRotation="0" wrapText="true" indent="1" shrinkToFit="false"/>
      <protection locked="true" hidden="false"/>
    </xf>
    <xf numFmtId="164" fontId="15" fillId="16" borderId="1" xfId="0" applyFont="true" applyBorder="true" applyAlignment="true" applyProtection="false">
      <alignment horizontal="general" vertical="center" textRotation="0" wrapText="true" indent="0" shrinkToFit="false"/>
      <protection locked="true" hidden="false"/>
    </xf>
    <xf numFmtId="165" fontId="8" fillId="16" borderId="1" xfId="0" applyFont="true" applyBorder="true" applyAlignment="true" applyProtection="false">
      <alignment horizontal="center" vertical="center" textRotation="0" wrapText="true" indent="0" shrinkToFit="false"/>
      <protection locked="true" hidden="false"/>
    </xf>
    <xf numFmtId="168" fontId="8" fillId="16" borderId="1" xfId="0" applyFont="true" applyBorder="true" applyAlignment="true" applyProtection="false">
      <alignment horizontal="center" vertical="center" textRotation="0" wrapText="true" indent="0" shrinkToFit="false"/>
      <protection locked="true" hidden="false"/>
    </xf>
    <xf numFmtId="167" fontId="8" fillId="16" borderId="1" xfId="0" applyFont="true" applyBorder="true" applyAlignment="true" applyProtection="false">
      <alignment horizontal="center" vertical="center" textRotation="0" wrapText="true" indent="0" shrinkToFit="false"/>
      <protection locked="true" hidden="false"/>
    </xf>
    <xf numFmtId="164" fontId="16" fillId="11" borderId="5" xfId="0" applyFont="true" applyBorder="true" applyAlignment="true" applyProtection="false">
      <alignment horizontal="left" vertical="center" textRotation="0" wrapText="true" indent="1" shrinkToFit="false"/>
      <protection locked="true" hidden="false"/>
    </xf>
    <xf numFmtId="164" fontId="12" fillId="20" borderId="1" xfId="0" applyFont="true" applyBorder="true" applyAlignment="true" applyProtection="false">
      <alignment horizontal="left" vertical="center" textRotation="0" wrapText="true" indent="1" shrinkToFit="false"/>
      <protection locked="true" hidden="false"/>
    </xf>
    <xf numFmtId="164" fontId="15" fillId="11" borderId="5" xfId="0" applyFont="true" applyBorder="true" applyAlignment="true" applyProtection="false">
      <alignment horizontal="left" vertical="center" textRotation="0" wrapText="true" indent="1" shrinkToFit="false"/>
      <protection locked="true" hidden="false"/>
    </xf>
    <xf numFmtId="164" fontId="12" fillId="21" borderId="1" xfId="0" applyFont="true" applyBorder="true" applyAlignment="true" applyProtection="false">
      <alignment horizontal="left" vertical="center" textRotation="0" wrapText="true" indent="1" shrinkToFit="false"/>
      <protection locked="true" hidden="false"/>
    </xf>
    <xf numFmtId="164" fontId="15" fillId="9" borderId="4" xfId="0" applyFont="true" applyBorder="true" applyAlignment="true" applyProtection="false">
      <alignment horizontal="left" vertical="center" textRotation="0" wrapText="true" indent="1" shrinkToFit="false"/>
      <protection locked="true" hidden="false"/>
    </xf>
    <xf numFmtId="164" fontId="12" fillId="22" borderId="1" xfId="0" applyFont="true" applyBorder="true" applyAlignment="true" applyProtection="false">
      <alignment horizontal="left" vertical="center" textRotation="0" wrapText="true" indent="1" shrinkToFit="false"/>
      <protection locked="true" hidden="false"/>
    </xf>
    <xf numFmtId="164" fontId="15" fillId="23" borderId="11" xfId="0" applyFont="true" applyBorder="true" applyAlignment="true" applyProtection="false">
      <alignment horizontal="left" vertical="center" textRotation="0" wrapText="true" indent="1" shrinkToFit="false"/>
      <protection locked="true" hidden="false"/>
    </xf>
    <xf numFmtId="164" fontId="12" fillId="24" borderId="1" xfId="0" applyFont="true" applyBorder="true" applyAlignment="true" applyProtection="false">
      <alignment horizontal="left" vertical="center" textRotation="0" wrapText="true" indent="1" shrinkToFit="false"/>
      <protection locked="true" hidden="false"/>
    </xf>
    <xf numFmtId="164" fontId="15" fillId="5" borderId="2" xfId="0" applyFont="true" applyBorder="true" applyAlignment="true" applyProtection="false">
      <alignment horizontal="left" vertical="center" textRotation="0" wrapText="true" indent="1" shrinkToFit="false"/>
      <protection locked="true" hidden="false"/>
    </xf>
    <xf numFmtId="164" fontId="12" fillId="25" borderId="1" xfId="0" applyFont="true" applyBorder="true" applyAlignment="true" applyProtection="false">
      <alignment horizontal="left" vertical="center" textRotation="0" wrapText="true" indent="1" shrinkToFit="false"/>
      <protection locked="true" hidden="false"/>
    </xf>
    <xf numFmtId="164" fontId="15" fillId="17" borderId="8" xfId="0" applyFont="true" applyBorder="true" applyAlignment="true" applyProtection="false">
      <alignment horizontal="left" vertical="center" textRotation="0" wrapText="true" indent="1" shrinkToFit="false"/>
      <protection locked="true" hidden="false"/>
    </xf>
    <xf numFmtId="164" fontId="12" fillId="26" borderId="1" xfId="0" applyFont="true" applyBorder="true" applyAlignment="true" applyProtection="false">
      <alignment horizontal="left" vertical="center" textRotation="0" wrapText="true" indent="1" shrinkToFit="false"/>
      <protection locked="true" hidden="false"/>
    </xf>
    <xf numFmtId="164" fontId="15" fillId="7" borderId="3" xfId="0" applyFont="true" applyBorder="true" applyAlignment="true" applyProtection="false">
      <alignment horizontal="left" vertical="center" textRotation="0" wrapText="true" indent="1" shrinkToFit="false"/>
      <protection locked="true" hidden="false"/>
    </xf>
    <xf numFmtId="164" fontId="12" fillId="27" borderId="1" xfId="0" applyFont="true" applyBorder="true" applyAlignment="true" applyProtection="false">
      <alignment horizontal="left" vertical="center" textRotation="0" wrapText="true" indent="1" shrinkToFit="false"/>
      <protection locked="true" hidden="false"/>
    </xf>
    <xf numFmtId="164" fontId="15" fillId="15" borderId="7" xfId="0" applyFont="true" applyBorder="true" applyAlignment="true" applyProtection="false">
      <alignment horizontal="left" vertical="center" textRotation="0" wrapText="true" indent="1"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20" fillId="2" borderId="1" xfId="0" applyFont="true" applyBorder="true" applyAlignment="true" applyProtection="false">
      <alignment horizontal="general"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21" fillId="19" borderId="1" xfId="0" applyFont="true" applyBorder="true" applyAlignment="true" applyProtection="false">
      <alignment horizontal="center" vertical="center" textRotation="0" wrapText="true" indent="0" shrinkToFit="false"/>
      <protection locked="true" hidden="false"/>
    </xf>
    <xf numFmtId="164" fontId="22" fillId="19" borderId="1" xfId="0" applyFont="true" applyBorder="true" applyAlignment="true" applyProtection="false">
      <alignment horizontal="center" vertical="center" textRotation="0" wrapText="true" indent="0" shrinkToFit="false"/>
      <protection locked="true" hidden="false"/>
    </xf>
    <xf numFmtId="164" fontId="15" fillId="19" borderId="1" xfId="0" applyFont="true" applyBorder="true" applyAlignment="true" applyProtection="false">
      <alignment horizontal="general" vertical="center" textRotation="0" wrapText="true" indent="1" shrinkToFit="false"/>
      <protection locked="true" hidden="false"/>
    </xf>
    <xf numFmtId="169" fontId="14" fillId="0" borderId="1" xfId="0" applyFont="true" applyBorder="true" applyAlignment="true" applyProtection="false">
      <alignment horizontal="right" vertical="center" textRotation="0" wrapText="true" indent="0" shrinkToFit="false"/>
      <protection locked="true" hidden="false"/>
    </xf>
    <xf numFmtId="170" fontId="23" fillId="19"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1" shrinkToFit="false"/>
      <protection locked="true" hidden="false"/>
    </xf>
    <xf numFmtId="169" fontId="24" fillId="0" borderId="1" xfId="0" applyFont="true" applyBorder="true" applyAlignment="true" applyProtection="false">
      <alignment horizontal="right"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26" fillId="28" borderId="1" xfId="0" applyFont="true" applyBorder="true" applyAlignment="true" applyProtection="false">
      <alignment horizontal="center" vertical="center" textRotation="0" wrapText="true" indent="0" shrinkToFit="false"/>
      <protection locked="true" hidden="false"/>
    </xf>
    <xf numFmtId="164" fontId="27" fillId="28" borderId="1" xfId="0" applyFont="true" applyBorder="true" applyAlignment="true" applyProtection="false">
      <alignment horizontal="center" vertical="center" textRotation="0" wrapText="true" indent="0" shrinkToFit="false"/>
      <protection locked="true" hidden="false"/>
    </xf>
    <xf numFmtId="164" fontId="15" fillId="28" borderId="1" xfId="0" applyFont="true" applyBorder="true" applyAlignment="true" applyProtection="false">
      <alignment horizontal="general" vertical="center" textRotation="0" wrapText="true" indent="1" shrinkToFit="false"/>
      <protection locked="true" hidden="false"/>
    </xf>
    <xf numFmtId="170" fontId="23" fillId="28" borderId="1" xfId="0" applyFont="true" applyBorder="true" applyAlignment="true" applyProtection="false">
      <alignment horizontal="center" vertical="center" textRotation="0" wrapText="true" indent="0" shrinkToFit="false"/>
      <protection locked="true" hidden="false"/>
    </xf>
    <xf numFmtId="164" fontId="28" fillId="29" borderId="1" xfId="0" applyFont="true" applyBorder="true" applyAlignment="true" applyProtection="false">
      <alignment horizontal="center" vertical="center" textRotation="0" wrapText="true" indent="0" shrinkToFit="false"/>
      <protection locked="true" hidden="false"/>
    </xf>
    <xf numFmtId="164" fontId="29" fillId="29" borderId="1" xfId="0" applyFont="true" applyBorder="true" applyAlignment="true" applyProtection="false">
      <alignment horizontal="center" vertical="center" textRotation="0" wrapText="true" indent="0" shrinkToFit="false"/>
      <protection locked="true" hidden="false"/>
    </xf>
    <xf numFmtId="164" fontId="15" fillId="29" borderId="1" xfId="0" applyFont="true" applyBorder="true" applyAlignment="true" applyProtection="false">
      <alignment horizontal="general" vertical="center" textRotation="0" wrapText="true" indent="1" shrinkToFit="false"/>
      <protection locked="true" hidden="false"/>
    </xf>
    <xf numFmtId="170" fontId="23" fillId="29" borderId="1" xfId="0" applyFont="true" applyBorder="true" applyAlignment="true" applyProtection="false">
      <alignment horizontal="center" vertical="center" textRotation="0" wrapText="true" indent="0" shrinkToFit="false"/>
      <protection locked="true" hidden="false"/>
    </xf>
    <xf numFmtId="164" fontId="30" fillId="30" borderId="1" xfId="0" applyFont="true" applyBorder="true" applyAlignment="true" applyProtection="false">
      <alignment horizontal="center" vertical="center" textRotation="0" wrapText="true" indent="0" shrinkToFit="false"/>
      <protection locked="true" hidden="false"/>
    </xf>
    <xf numFmtId="164" fontId="31" fillId="30" borderId="1" xfId="0" applyFont="true" applyBorder="true" applyAlignment="true" applyProtection="false">
      <alignment horizontal="center" vertical="center" textRotation="0" wrapText="true" indent="0" shrinkToFit="false"/>
      <protection locked="true" hidden="false"/>
    </xf>
    <xf numFmtId="164" fontId="15" fillId="30" borderId="1" xfId="0" applyFont="true" applyBorder="true" applyAlignment="true" applyProtection="false">
      <alignment horizontal="general" vertical="center" textRotation="0" wrapText="true" indent="1" shrinkToFit="false"/>
      <protection locked="true" hidden="false"/>
    </xf>
    <xf numFmtId="170" fontId="23" fillId="3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right" vertical="center" textRotation="0" wrapText="true" indent="0" shrinkToFit="false"/>
      <protection locked="true" hidden="false"/>
    </xf>
    <xf numFmtId="164" fontId="15" fillId="32" borderId="1" xfId="0" applyFont="true" applyBorder="true" applyAlignment="true" applyProtection="false">
      <alignment horizontal="general" vertical="center" textRotation="0" wrapText="true" indent="0" shrinkToFit="false"/>
      <protection locked="true" hidden="false"/>
    </xf>
    <xf numFmtId="170" fontId="8" fillId="16" borderId="1" xfId="0" applyFont="true" applyBorder="true" applyAlignment="true" applyProtection="false">
      <alignment horizontal="center" vertical="center" textRotation="0" wrapText="true" indent="0" shrinkToFit="false"/>
      <protection locked="true" hidden="false"/>
    </xf>
    <xf numFmtId="164" fontId="32" fillId="33" borderId="1" xfId="0" applyFont="true" applyBorder="true" applyAlignment="true" applyProtection="false">
      <alignment horizontal="center" vertical="center" textRotation="0" wrapText="true" indent="0" shrinkToFit="false"/>
      <protection locked="true" hidden="false"/>
    </xf>
    <xf numFmtId="164" fontId="32" fillId="33" borderId="1" xfId="0" applyFont="true" applyBorder="true" applyAlignment="true" applyProtection="false">
      <alignment horizontal="general" vertical="center" textRotation="0" wrapText="true" indent="0" shrinkToFit="false"/>
      <protection locked="true" hidden="false"/>
    </xf>
    <xf numFmtId="164" fontId="20" fillId="22" borderId="1" xfId="0" applyFont="true" applyBorder="true" applyAlignment="true" applyProtection="false">
      <alignment horizontal="center" vertical="center" textRotation="0" wrapText="true" indent="0" shrinkToFit="false"/>
      <protection locked="true" hidden="false"/>
    </xf>
    <xf numFmtId="164" fontId="33" fillId="34" borderId="1" xfId="0" applyFont="true" applyBorder="true" applyAlignment="true" applyProtection="false">
      <alignment horizontal="center" vertical="center" textRotation="0" wrapText="true" indent="0" shrinkToFit="false"/>
      <protection locked="true" hidden="false"/>
    </xf>
    <xf numFmtId="164" fontId="20" fillId="25" borderId="1" xfId="0" applyFont="true" applyBorder="true" applyAlignment="true" applyProtection="false">
      <alignment horizontal="center" vertical="center" textRotation="0" wrapText="true" indent="0" shrinkToFit="false"/>
      <protection locked="true" hidden="false"/>
    </xf>
    <xf numFmtId="164" fontId="14" fillId="35" borderId="1" xfId="0" applyFont="true" applyBorder="true" applyAlignment="true" applyProtection="false">
      <alignment horizontal="center" vertical="center" textRotation="0" wrapText="true" indent="0" shrinkToFit="false"/>
      <protection locked="true" hidden="false"/>
    </xf>
    <xf numFmtId="164" fontId="20" fillId="26" borderId="1" xfId="0" applyFont="true" applyBorder="true" applyAlignment="true" applyProtection="false">
      <alignment horizontal="center" vertical="center" textRotation="0" wrapText="true" indent="0" shrinkToFit="false"/>
      <protection locked="true" hidden="false"/>
    </xf>
    <xf numFmtId="164" fontId="20" fillId="36" borderId="1" xfId="0" applyFont="true" applyBorder="true" applyAlignment="true" applyProtection="false">
      <alignment horizontal="center" vertical="center" textRotation="0" wrapText="true" indent="0" shrinkToFit="false"/>
      <protection locked="true" hidden="false"/>
    </xf>
    <xf numFmtId="164" fontId="34" fillId="12" borderId="1" xfId="0" applyFont="true" applyBorder="true" applyAlignment="true" applyProtection="false">
      <alignment horizontal="center" vertical="center" textRotation="0" wrapText="true" indent="0" shrinkToFit="false"/>
      <protection locked="true" hidden="false"/>
    </xf>
    <xf numFmtId="164" fontId="15" fillId="13" borderId="6" xfId="0" applyFont="true" applyBorder="true" applyAlignment="true" applyProtection="false">
      <alignment horizontal="left" vertical="center" textRotation="0" wrapText="true" indent="1" shrinkToFit="false"/>
      <protection locked="true" hidden="false"/>
    </xf>
    <xf numFmtId="164" fontId="20" fillId="24" borderId="1" xfId="0" applyFont="true" applyBorder="true" applyAlignment="true" applyProtection="false">
      <alignment horizontal="center" vertical="center" textRotation="0" wrapText="true" indent="0" shrinkToFit="false"/>
      <protection locked="true" hidden="false"/>
    </xf>
    <xf numFmtId="164" fontId="15" fillId="35" borderId="1" xfId="0" applyFont="true" applyBorder="true" applyAlignment="true" applyProtection="false">
      <alignment horizontal="center" vertical="center" textRotation="0" wrapText="true" indent="0" shrinkToFit="false"/>
      <protection locked="true" hidden="false"/>
    </xf>
    <xf numFmtId="164" fontId="20" fillId="20" borderId="1" xfId="0" applyFont="true" applyBorder="true" applyAlignment="true" applyProtection="false">
      <alignment horizontal="center" vertical="center" textRotation="0" wrapText="true" indent="0" shrinkToFit="false"/>
      <protection locked="true" hidden="false"/>
    </xf>
    <xf numFmtId="164" fontId="20" fillId="18" borderId="1" xfId="0" applyFont="true" applyBorder="true" applyAlignment="true" applyProtection="false">
      <alignment horizontal="general" vertical="center" textRotation="0" wrapText="true" indent="0" shrinkToFit="false"/>
      <protection locked="true" hidden="false"/>
    </xf>
    <xf numFmtId="164" fontId="20" fillId="37" borderId="1" xfId="0" applyFont="true" applyBorder="true" applyAlignment="true" applyProtection="false">
      <alignment horizontal="general" vertical="center" textRotation="0" wrapText="true" indent="0" shrinkToFit="false"/>
      <protection locked="true" hidden="false"/>
    </xf>
    <xf numFmtId="164" fontId="12" fillId="37" borderId="1" xfId="0" applyFont="true" applyBorder="true" applyAlignment="true" applyProtection="false">
      <alignment horizontal="center" vertical="center" textRotation="0" wrapText="true" indent="0" shrinkToFit="false"/>
      <protection locked="true" hidden="false"/>
    </xf>
    <xf numFmtId="164" fontId="35" fillId="19" borderId="1" xfId="0" applyFont="true" applyBorder="true" applyAlignment="true" applyProtection="false">
      <alignment horizontal="center" vertical="center" textRotation="0" wrapText="true" indent="0" shrinkToFit="false"/>
      <protection locked="true" hidden="false"/>
    </xf>
    <xf numFmtId="164" fontId="36" fillId="19" borderId="1" xfId="0" applyFont="true" applyBorder="true" applyAlignment="true" applyProtection="false">
      <alignment horizontal="general" vertical="center" textRotation="0" wrapText="true" indent="1" shrinkToFit="false"/>
      <protection locked="true" hidden="false"/>
    </xf>
    <xf numFmtId="164" fontId="37" fillId="19" borderId="1" xfId="0" applyFont="true" applyBorder="true" applyAlignment="true" applyProtection="false">
      <alignment horizontal="general" vertical="center" textRotation="0" wrapText="true" indent="1" shrinkToFit="false"/>
      <protection locked="true" hidden="false"/>
    </xf>
    <xf numFmtId="171" fontId="15" fillId="0" borderId="1" xfId="0" applyFont="true" applyBorder="true" applyAlignment="true" applyProtection="false">
      <alignment horizontal="right" vertical="center" textRotation="0" wrapText="true" indent="0" shrinkToFit="false"/>
      <protection locked="true" hidden="false"/>
    </xf>
    <xf numFmtId="172" fontId="14" fillId="0" borderId="1" xfId="0" applyFont="true" applyBorder="true" applyAlignment="true" applyProtection="false">
      <alignment horizontal="center" vertical="center" textRotation="0" wrapText="true" indent="0" shrinkToFit="false"/>
      <protection locked="true" hidden="false"/>
    </xf>
    <xf numFmtId="164" fontId="38"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39" fillId="28" borderId="1" xfId="0" applyFont="true" applyBorder="true" applyAlignment="true" applyProtection="false">
      <alignment horizontal="center" vertical="center" textRotation="0" wrapText="true" indent="0" shrinkToFit="false"/>
      <protection locked="true" hidden="false"/>
    </xf>
    <xf numFmtId="164" fontId="40" fillId="28" borderId="1" xfId="0" applyFont="true" applyBorder="true" applyAlignment="true" applyProtection="false">
      <alignment horizontal="general" vertical="center" textRotation="0" wrapText="true" indent="1" shrinkToFit="false"/>
      <protection locked="true" hidden="false"/>
    </xf>
    <xf numFmtId="164" fontId="37" fillId="28" borderId="1" xfId="0" applyFont="true" applyBorder="true" applyAlignment="true" applyProtection="false">
      <alignment horizontal="general" vertical="center" textRotation="0" wrapText="true" indent="1" shrinkToFit="false"/>
      <protection locked="true" hidden="false"/>
    </xf>
    <xf numFmtId="164" fontId="41" fillId="29" borderId="1" xfId="0" applyFont="true" applyBorder="true" applyAlignment="true" applyProtection="false">
      <alignment horizontal="center" vertical="center" textRotation="0" wrapText="true" indent="0" shrinkToFit="false"/>
      <protection locked="true" hidden="false"/>
    </xf>
    <xf numFmtId="164" fontId="42" fillId="29" borderId="1" xfId="0" applyFont="true" applyBorder="true" applyAlignment="true" applyProtection="false">
      <alignment horizontal="general" vertical="center" textRotation="0" wrapText="true" indent="1" shrinkToFit="false"/>
      <protection locked="true" hidden="false"/>
    </xf>
    <xf numFmtId="164" fontId="37" fillId="29" borderId="1" xfId="0" applyFont="true" applyBorder="true" applyAlignment="true" applyProtection="false">
      <alignment horizontal="general" vertical="center" textRotation="0" wrapText="true" indent="1" shrinkToFit="false"/>
      <protection locked="true" hidden="false"/>
    </xf>
    <xf numFmtId="164" fontId="43" fillId="30" borderId="1" xfId="0" applyFont="true" applyBorder="true" applyAlignment="true" applyProtection="false">
      <alignment horizontal="center" vertical="center" textRotation="0" wrapText="true" indent="0" shrinkToFit="false"/>
      <protection locked="true" hidden="false"/>
    </xf>
    <xf numFmtId="164" fontId="44" fillId="30" borderId="1" xfId="0" applyFont="true" applyBorder="true" applyAlignment="true" applyProtection="false">
      <alignment horizontal="general" vertical="center" textRotation="0" wrapText="true" indent="1" shrinkToFit="false"/>
      <protection locked="true" hidden="false"/>
    </xf>
    <xf numFmtId="164" fontId="37" fillId="30" borderId="1" xfId="0" applyFont="true" applyBorder="true" applyAlignment="true" applyProtection="false">
      <alignment horizontal="general" vertical="center" textRotation="0" wrapText="true" indent="1" shrinkToFit="false"/>
      <protection locked="true" hidden="false"/>
    </xf>
    <xf numFmtId="164" fontId="20" fillId="18" borderId="1" xfId="0" applyFont="true" applyBorder="true" applyAlignment="true" applyProtection="false">
      <alignment horizontal="left" vertical="center" textRotation="0" wrapText="true" indent="1" shrinkToFit="false"/>
      <protection locked="true" hidden="false"/>
    </xf>
    <xf numFmtId="164" fontId="35" fillId="19" borderId="1" xfId="0" applyFont="true" applyBorder="true" applyAlignment="true" applyProtection="false">
      <alignment horizontal="left" vertical="center" textRotation="0" wrapText="true" indent="1" shrinkToFit="false"/>
      <protection locked="true" hidden="false"/>
    </xf>
    <xf numFmtId="172" fontId="15" fillId="0" borderId="1" xfId="0" applyFont="true" applyBorder="true" applyAlignment="true" applyProtection="false">
      <alignment horizontal="center" vertical="center" textRotation="0" wrapText="true" indent="0" shrinkToFit="false"/>
      <protection locked="true" hidden="false"/>
    </xf>
    <xf numFmtId="164" fontId="39" fillId="28" borderId="1" xfId="0" applyFont="true" applyBorder="true" applyAlignment="true" applyProtection="false">
      <alignment horizontal="left" vertical="center" textRotation="0" wrapText="true" indent="1" shrinkToFit="false"/>
      <protection locked="true" hidden="false"/>
    </xf>
    <xf numFmtId="164" fontId="41" fillId="29" borderId="1" xfId="0" applyFont="true" applyBorder="true" applyAlignment="true" applyProtection="false">
      <alignment horizontal="left" vertical="center" textRotation="0" wrapText="true" indent="1" shrinkToFit="false"/>
      <protection locked="true" hidden="false"/>
    </xf>
    <xf numFmtId="164" fontId="43" fillId="30" borderId="1" xfId="0" applyFont="true" applyBorder="true" applyAlignment="true" applyProtection="false">
      <alignment horizontal="left" vertical="center" textRotation="0" wrapText="true" indent="1" shrinkToFit="false"/>
      <protection locked="true" hidden="false"/>
    </xf>
    <xf numFmtId="164" fontId="15" fillId="31" borderId="1" xfId="0" applyFont="true" applyBorder="true" applyAlignment="true" applyProtection="false">
      <alignment horizontal="left" vertical="center" textRotation="0" wrapText="true" indent="1" shrinkToFit="false"/>
      <protection locked="true" hidden="false"/>
    </xf>
    <xf numFmtId="167" fontId="15" fillId="0" borderId="1" xfId="0" applyFont="true" applyBorder="true" applyAlignment="true" applyProtection="false">
      <alignment horizontal="center" vertical="center" textRotation="0" wrapText="true" indent="0" shrinkToFit="false"/>
      <protection locked="true" hidden="false"/>
    </xf>
    <xf numFmtId="164" fontId="45" fillId="16" borderId="1" xfId="0" applyFont="true" applyBorder="true" applyAlignment="true" applyProtection="false">
      <alignment horizontal="left" vertical="center" textRotation="0" wrapText="true" indent="1" shrinkToFit="false"/>
      <protection locked="true" hidden="false"/>
    </xf>
    <xf numFmtId="165" fontId="45" fillId="16"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left" vertical="center" textRotation="0" wrapText="true" indent="1" shrinkToFit="false"/>
      <protection locked="true" hidden="false"/>
    </xf>
    <xf numFmtId="164" fontId="12" fillId="36" borderId="1" xfId="0" applyFont="true" applyBorder="true" applyAlignment="true" applyProtection="false">
      <alignment horizontal="left" vertical="center" textRotation="0" wrapText="true" indent="1" shrinkToFit="false"/>
      <protection locked="true" hidden="false"/>
    </xf>
    <xf numFmtId="164" fontId="12" fillId="2" borderId="1" xfId="0" applyFont="true" applyBorder="true" applyAlignment="true" applyProtection="false">
      <alignment horizontal="left" vertical="center" textRotation="0" wrapText="true" indent="1" shrinkToFit="false"/>
      <protection locked="true" hidden="false"/>
    </xf>
    <xf numFmtId="164" fontId="15" fillId="38" borderId="9" xfId="0" applyFont="true" applyBorder="true" applyAlignment="true" applyProtection="false">
      <alignment horizontal="left" vertical="center" textRotation="0" wrapText="true" indent="1" shrinkToFit="false"/>
      <protection locked="true" hidden="false"/>
    </xf>
    <xf numFmtId="164" fontId="20" fillId="18" borderId="1" xfId="0" applyFont="true" applyBorder="true" applyAlignment="true" applyProtection="false">
      <alignment horizontal="center" vertical="center" textRotation="0" wrapText="true" indent="0" shrinkToFit="false"/>
      <protection locked="true" hidden="false"/>
    </xf>
    <xf numFmtId="164" fontId="35" fillId="19" borderId="1" xfId="0" applyFont="true" applyBorder="true" applyAlignment="true" applyProtection="false">
      <alignment horizontal="general" vertical="center" textRotation="0" wrapText="true" indent="1" shrinkToFit="false"/>
      <protection locked="true" hidden="false"/>
    </xf>
    <xf numFmtId="164" fontId="39" fillId="28" borderId="1" xfId="0" applyFont="true" applyBorder="true" applyAlignment="true" applyProtection="false">
      <alignment horizontal="general" vertical="center" textRotation="0" wrapText="true" indent="1" shrinkToFit="false"/>
      <protection locked="true" hidden="false"/>
    </xf>
    <xf numFmtId="164" fontId="41" fillId="29" borderId="1" xfId="0" applyFont="true" applyBorder="true" applyAlignment="true" applyProtection="false">
      <alignment horizontal="general" vertical="center" textRotation="0" wrapText="true" indent="1" shrinkToFit="false"/>
      <protection locked="true" hidden="false"/>
    </xf>
    <xf numFmtId="164" fontId="43" fillId="30" borderId="1" xfId="0" applyFont="true" applyBorder="true" applyAlignment="true" applyProtection="false">
      <alignment horizontal="general" vertical="center" textRotation="0" wrapText="true" indent="1" shrinkToFit="false"/>
      <protection locked="true" hidden="false"/>
    </xf>
    <xf numFmtId="164" fontId="46" fillId="8" borderId="1" xfId="0" applyFont="true" applyBorder="true" applyAlignment="true" applyProtection="false">
      <alignment horizontal="general" vertical="center" textRotation="0" wrapText="true" indent="1" shrinkToFit="false"/>
      <protection locked="true" hidden="false"/>
    </xf>
    <xf numFmtId="167" fontId="38" fillId="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general" vertical="center" textRotation="0" wrapText="true" indent="1" shrinkToFit="false"/>
      <protection locked="true" hidden="false"/>
    </xf>
    <xf numFmtId="164" fontId="15" fillId="8" borderId="1" xfId="0" applyFont="true" applyBorder="true" applyAlignment="true" applyProtection="false">
      <alignment horizontal="general" vertical="center" textRotation="0" wrapText="true" indent="1" shrinkToFit="false"/>
      <protection locked="true" hidden="false"/>
    </xf>
    <xf numFmtId="169" fontId="15" fillId="0" borderId="1" xfId="0" applyFont="true" applyBorder="true" applyAlignment="true" applyProtection="false">
      <alignment horizontal="center" vertical="center" textRotation="0" wrapText="true" indent="0" shrinkToFit="false"/>
      <protection locked="true" hidden="false"/>
    </xf>
    <xf numFmtId="164" fontId="45" fillId="16" borderId="1" xfId="0" applyFont="true" applyBorder="true" applyAlignment="true" applyProtection="false">
      <alignment horizontal="general" vertical="center" textRotation="0" wrapText="true" indent="1" shrinkToFit="false"/>
      <protection locked="true" hidden="false"/>
    </xf>
    <xf numFmtId="164" fontId="15" fillId="0" borderId="1" xfId="0" applyFont="true" applyBorder="true" applyAlignment="true" applyProtection="false">
      <alignment horizontal="general" vertical="center" textRotation="0" wrapText="true" indent="1" shrinkToFit="false"/>
      <protection locked="true" hidden="false"/>
    </xf>
    <xf numFmtId="173" fontId="15" fillId="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left" vertical="center" textRotation="0" wrapText="true" indent="1"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20" fillId="37" borderId="1" xfId="0" applyFont="true" applyBorder="true" applyAlignment="true" applyProtection="false">
      <alignment horizontal="center" vertical="center" textRotation="0" wrapText="true" indent="0" shrinkToFit="false"/>
      <protection locked="true" hidden="false"/>
    </xf>
    <xf numFmtId="169" fontId="38" fillId="0" borderId="1" xfId="0" applyFont="true" applyBorder="true" applyAlignment="true" applyProtection="false">
      <alignment horizontal="right" vertical="center" textRotation="0" wrapText="true" indent="0" shrinkToFit="false"/>
      <protection locked="true" hidden="false"/>
    </xf>
    <xf numFmtId="164" fontId="47" fillId="0" borderId="1" xfId="0" applyFont="true" applyBorder="true" applyAlignment="true" applyProtection="false">
      <alignment horizontal="center" vertical="center" textRotation="0" wrapText="true" indent="0" shrinkToFit="false"/>
      <protection locked="true" hidden="false"/>
    </xf>
    <xf numFmtId="164" fontId="7" fillId="36" borderId="1" xfId="0" applyFont="true" applyBorder="true" applyAlignment="true" applyProtection="false">
      <alignment horizontal="left" vertical="center" textRotation="0" wrapText="true" indent="1" shrinkToFit="false"/>
      <protection locked="true" hidden="false"/>
    </xf>
    <xf numFmtId="169" fontId="38" fillId="32" borderId="1" xfId="0" applyFont="true" applyBorder="true" applyAlignment="true" applyProtection="false">
      <alignment horizontal="right" vertical="center" textRotation="0" wrapText="true" indent="0" shrinkToFit="false"/>
      <protection locked="true" hidden="false"/>
    </xf>
    <xf numFmtId="164" fontId="7" fillId="26" borderId="1" xfId="0" applyFont="true" applyBorder="true" applyAlignment="true" applyProtection="false">
      <alignment horizontal="left" vertical="center" textRotation="0" wrapText="true" indent="1" shrinkToFit="false"/>
      <protection locked="true" hidden="false"/>
    </xf>
    <xf numFmtId="164" fontId="7" fillId="24" borderId="1" xfId="0" applyFont="true" applyBorder="true" applyAlignment="true" applyProtection="false">
      <alignment horizontal="left" vertical="center" textRotation="0" wrapText="true" indent="1" shrinkToFit="false"/>
      <protection locked="true" hidden="false"/>
    </xf>
    <xf numFmtId="169" fontId="15" fillId="0" borderId="1" xfId="0" applyFont="true" applyBorder="true" applyAlignment="true" applyProtection="false">
      <alignment horizontal="right" vertical="center" textRotation="0" wrapText="true" indent="0" shrinkToFit="false"/>
      <protection locked="true" hidden="false"/>
    </xf>
    <xf numFmtId="164" fontId="46" fillId="8" borderId="1" xfId="0" applyFont="true" applyBorder="true" applyAlignment="true" applyProtection="false">
      <alignment horizontal="center" vertical="center" textRotation="0" wrapText="true" indent="0" shrinkToFit="false"/>
      <protection locked="true" hidden="false"/>
    </xf>
    <xf numFmtId="164" fontId="48" fillId="8" borderId="1" xfId="0" applyFont="true" applyBorder="true" applyAlignment="true" applyProtection="false">
      <alignment horizontal="general" vertical="center" textRotation="0" wrapText="true" indent="1" shrinkToFit="false"/>
      <protection locked="true" hidden="false"/>
    </xf>
    <xf numFmtId="164" fontId="7" fillId="27" borderId="1" xfId="0" applyFont="true" applyBorder="true" applyAlignment="true" applyProtection="false">
      <alignment horizontal="left" vertical="center" textRotation="0" wrapText="true" indent="1" shrinkToFit="false"/>
      <protection locked="true" hidden="false"/>
    </xf>
    <xf numFmtId="164" fontId="49" fillId="14" borderId="1" xfId="0" applyFont="true" applyBorder="true" applyAlignment="true" applyProtection="false">
      <alignment horizontal="center" vertical="center" textRotation="0" wrapText="true" indent="0" shrinkToFit="false"/>
      <protection locked="true" hidden="false"/>
    </xf>
    <xf numFmtId="164" fontId="15" fillId="14" borderId="1" xfId="0" applyFont="true" applyBorder="true" applyAlignment="true" applyProtection="false">
      <alignment horizontal="general" vertical="center" textRotation="0" wrapText="true" indent="1"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8" fontId="38" fillId="0" borderId="1" xfId="0" applyFont="true" applyBorder="true" applyAlignment="true" applyProtection="false">
      <alignment horizontal="right" vertical="center" textRotation="0" wrapText="true" indent="0" shrinkToFit="false"/>
      <protection locked="true" hidden="false"/>
    </xf>
    <xf numFmtId="164" fontId="7" fillId="25" borderId="1" xfId="0" applyFont="true" applyBorder="true" applyAlignment="true" applyProtection="false">
      <alignment horizontal="left" vertical="center" textRotation="0" wrapText="true" indent="1" shrinkToFit="false"/>
      <protection locked="true" hidden="false"/>
    </xf>
    <xf numFmtId="164" fontId="20" fillId="27" borderId="1" xfId="0" applyFont="true" applyBorder="true" applyAlignment="true" applyProtection="false">
      <alignment horizontal="center" vertical="center" textRotation="0" wrapText="true" indent="0" shrinkToFit="false"/>
      <protection locked="true" hidden="false"/>
    </xf>
    <xf numFmtId="164" fontId="6" fillId="31" borderId="1" xfId="0" applyFont="true" applyBorder="true" applyAlignment="true" applyProtection="false">
      <alignment horizontal="center" vertical="center" textRotation="0" wrapText="true" indent="0" shrinkToFit="false"/>
      <protection locked="true" hidden="false"/>
    </xf>
    <xf numFmtId="164" fontId="6" fillId="31" borderId="1" xfId="0" applyFont="true" applyBorder="true" applyAlignment="true" applyProtection="false">
      <alignment horizontal="general" vertical="center" textRotation="0" wrapText="true" indent="1" shrinkToFit="false"/>
      <protection locked="true" hidden="false"/>
    </xf>
    <xf numFmtId="169" fontId="6" fillId="31" borderId="1" xfId="0" applyFont="true" applyBorder="true" applyAlignment="true" applyProtection="false">
      <alignment horizontal="right" vertical="center" textRotation="0" wrapText="true" indent="0" shrinkToFit="false"/>
      <protection locked="true" hidden="false"/>
    </xf>
    <xf numFmtId="164" fontId="8" fillId="19" borderId="1" xfId="0" applyFont="true" applyBorder="true" applyAlignment="true" applyProtection="false">
      <alignment horizontal="general" vertical="center" textRotation="0" wrapText="true" indent="1" shrinkToFit="false"/>
      <protection locked="true" hidden="false"/>
    </xf>
    <xf numFmtId="169" fontId="38" fillId="4" borderId="1" xfId="0" applyFont="true" applyBorder="true" applyAlignment="true" applyProtection="false">
      <alignment horizontal="right" vertical="center" textRotation="0" wrapText="true" indent="0" shrinkToFit="false"/>
      <protection locked="true" hidden="false"/>
    </xf>
    <xf numFmtId="164" fontId="50" fillId="4" borderId="1" xfId="0" applyFont="true" applyBorder="true" applyAlignment="true" applyProtection="false">
      <alignment horizontal="general" vertical="center" textRotation="0" wrapText="true" indent="0" shrinkToFit="false"/>
      <protection locked="true" hidden="false"/>
    </xf>
    <xf numFmtId="164" fontId="8" fillId="28" borderId="1" xfId="0" applyFont="true" applyBorder="true" applyAlignment="true" applyProtection="false">
      <alignment horizontal="general" vertical="center" textRotation="0" wrapText="true" indent="1" shrinkToFit="false"/>
      <protection locked="true" hidden="false"/>
    </xf>
    <xf numFmtId="164" fontId="51" fillId="17" borderId="1" xfId="0" applyFont="true" applyBorder="true" applyAlignment="true" applyProtection="false">
      <alignment horizontal="general" vertical="center" textRotation="0" wrapText="true" indent="0" shrinkToFit="false"/>
      <protection locked="true" hidden="false"/>
    </xf>
    <xf numFmtId="164" fontId="8" fillId="29" borderId="1" xfId="0" applyFont="true" applyBorder="true" applyAlignment="true" applyProtection="false">
      <alignment horizontal="general" vertical="center" textRotation="0" wrapText="true" indent="1" shrinkToFit="false"/>
      <protection locked="true" hidden="false"/>
    </xf>
    <xf numFmtId="164" fontId="8" fillId="30" borderId="1" xfId="0" applyFont="true" applyBorder="true" applyAlignment="true" applyProtection="false">
      <alignment horizontal="general" vertical="center" textRotation="0" wrapText="true" indent="1" shrinkToFit="false"/>
      <protection locked="true" hidden="false"/>
    </xf>
    <xf numFmtId="164" fontId="52" fillId="30" borderId="1" xfId="0" applyFont="true" applyBorder="true" applyAlignment="true" applyProtection="false">
      <alignment horizontal="general" vertical="center" textRotation="0" wrapText="true" indent="1" shrinkToFit="false"/>
      <protection locked="true" hidden="false"/>
    </xf>
    <xf numFmtId="164" fontId="8" fillId="7" borderId="1" xfId="0" applyFont="true" applyBorder="true" applyAlignment="true" applyProtection="false">
      <alignment horizontal="left" vertical="center" textRotation="0" wrapText="true" indent="1" shrinkToFit="false"/>
      <protection locked="true" hidden="false"/>
    </xf>
    <xf numFmtId="164" fontId="50" fillId="4" borderId="1" xfId="0" applyFont="true" applyBorder="true" applyAlignment="true" applyProtection="false">
      <alignment horizontal="left" vertical="center" textRotation="0" wrapText="true" indent="0" shrinkToFit="false"/>
      <protection locked="true" hidden="false"/>
    </xf>
    <xf numFmtId="164" fontId="53" fillId="32"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1" shrinkToFit="false"/>
      <protection locked="true" hidden="false"/>
    </xf>
    <xf numFmtId="164" fontId="15" fillId="13" borderId="1" xfId="0" applyFont="true" applyBorder="true" applyAlignment="true" applyProtection="false">
      <alignment horizontal="left" vertical="center" textRotation="0" wrapText="true" indent="1" shrinkToFit="false"/>
      <protection locked="true" hidden="false"/>
    </xf>
    <xf numFmtId="164" fontId="14" fillId="13" borderId="1" xfId="0" applyFont="true" applyBorder="true" applyAlignment="true" applyProtection="false">
      <alignment horizontal="left" vertical="center" textRotation="0" wrapText="true" indent="1" shrinkToFit="false"/>
      <protection locked="true" hidden="false"/>
    </xf>
    <xf numFmtId="164" fontId="8" fillId="39" borderId="1" xfId="0" applyFont="true" applyBorder="true" applyAlignment="true" applyProtection="false">
      <alignment horizontal="left" vertical="center" textRotation="0" wrapText="true" indent="1" shrinkToFit="false"/>
      <protection locked="true" hidden="false"/>
    </xf>
    <xf numFmtId="164" fontId="54" fillId="2" borderId="1" xfId="0" applyFont="true" applyBorder="true" applyAlignment="true" applyProtection="false">
      <alignment horizontal="left" vertical="center" textRotation="0" wrapText="true" indent="1" shrinkToFit="false"/>
      <protection locked="true" hidden="false"/>
    </xf>
    <xf numFmtId="164" fontId="54" fillId="20" borderId="1" xfId="0" applyFont="true" applyBorder="true" applyAlignment="true" applyProtection="false">
      <alignment horizontal="left" vertical="center" textRotation="0" wrapText="true" indent="1" shrinkToFit="false"/>
      <protection locked="true" hidden="false"/>
    </xf>
    <xf numFmtId="164" fontId="55" fillId="0" borderId="0" xfId="0" applyFont="true" applyBorder="true" applyAlignment="true" applyProtection="false">
      <alignment horizontal="left" vertical="center" textRotation="0" wrapText="true" indent="1" shrinkToFit="false"/>
      <protection locked="true" hidden="false"/>
    </xf>
    <xf numFmtId="164" fontId="32" fillId="14" borderId="1" xfId="0" applyFont="true" applyBorder="true" applyAlignment="true" applyProtection="false">
      <alignment horizontal="center" vertical="center" textRotation="0" wrapText="true" indent="0" shrinkToFit="false"/>
      <protection locked="true" hidden="false"/>
    </xf>
    <xf numFmtId="164" fontId="35" fillId="10" borderId="1" xfId="0" applyFont="true" applyBorder="true" applyAlignment="true" applyProtection="false">
      <alignment horizontal="left" vertical="center" textRotation="0" wrapText="true" indent="1" shrinkToFit="false"/>
      <protection locked="true" hidden="false"/>
    </xf>
    <xf numFmtId="164" fontId="15" fillId="11" borderId="1" xfId="0" applyFont="true" applyBorder="true" applyAlignment="true" applyProtection="false">
      <alignment horizontal="left" vertical="center" textRotation="0" wrapText="true" indent="1" shrinkToFit="false"/>
      <protection locked="true" hidden="false"/>
    </xf>
    <xf numFmtId="164" fontId="39" fillId="12" borderId="1" xfId="0" applyFont="true" applyBorder="true" applyAlignment="true" applyProtection="false">
      <alignment horizontal="left" vertical="center" textRotation="0" wrapText="true" indent="1" shrinkToFit="false"/>
      <protection locked="true" hidden="false"/>
    </xf>
    <xf numFmtId="164" fontId="56" fillId="16" borderId="1" xfId="0" applyFont="true" applyBorder="true" applyAlignment="true" applyProtection="false">
      <alignment horizontal="left" vertical="center" textRotation="0" wrapText="true" indent="1" shrinkToFit="false"/>
      <protection locked="true" hidden="false"/>
    </xf>
    <xf numFmtId="164" fontId="15" fillId="17" borderId="1" xfId="0" applyFont="true" applyBorder="true" applyAlignment="true" applyProtection="false">
      <alignment horizontal="left" vertical="center" textRotation="0" wrapText="true" indent="1" shrinkToFit="false"/>
      <protection locked="true" hidden="false"/>
    </xf>
    <xf numFmtId="164" fontId="41" fillId="6" borderId="1" xfId="0" applyFont="true" applyBorder="true" applyAlignment="true" applyProtection="false">
      <alignment horizontal="left" vertical="center" textRotation="0" wrapText="true" indent="1" shrinkToFit="false"/>
      <protection locked="true" hidden="false"/>
    </xf>
    <xf numFmtId="164" fontId="15" fillId="7" borderId="1" xfId="0" applyFont="true" applyBorder="true" applyAlignment="true" applyProtection="false">
      <alignment horizontal="left" vertical="center" textRotation="0" wrapText="true" indent="1" shrinkToFit="false"/>
      <protection locked="true" hidden="false"/>
    </xf>
    <xf numFmtId="164" fontId="43" fillId="3" borderId="1" xfId="0" applyFont="true" applyBorder="true" applyAlignment="true" applyProtection="false">
      <alignment horizontal="left" vertical="center" textRotation="0" wrapText="true" indent="1" shrinkToFit="false"/>
      <protection locked="true" hidden="false"/>
    </xf>
    <xf numFmtId="164" fontId="15" fillId="5" borderId="1" xfId="0" applyFont="true" applyBorder="true" applyAlignment="true" applyProtection="false">
      <alignment horizontal="left" vertical="center" textRotation="0" wrapText="true" indent="1" shrinkToFit="false"/>
      <protection locked="true" hidden="false"/>
    </xf>
    <xf numFmtId="164" fontId="54" fillId="24" borderId="1" xfId="0" applyFont="true" applyBorder="true" applyAlignment="true" applyProtection="false">
      <alignment horizontal="left" vertical="center" textRotation="0" wrapText="true" indent="1" shrinkToFit="false"/>
      <protection locked="true" hidden="false"/>
    </xf>
    <xf numFmtId="164" fontId="20" fillId="21" borderId="1" xfId="0" applyFont="true" applyBorder="true" applyAlignment="true" applyProtection="false">
      <alignment horizontal="center" vertical="center" textRotation="0" wrapText="true" indent="0" shrinkToFit="false"/>
      <protection locked="true" hidden="false"/>
    </xf>
    <xf numFmtId="164" fontId="46" fillId="8" borderId="1" xfId="0" applyFont="true" applyBorder="true" applyAlignment="true" applyProtection="false">
      <alignment horizontal="left" vertical="center" textRotation="0" wrapText="true" indent="1" shrinkToFit="false"/>
      <protection locked="true" hidden="false"/>
    </xf>
    <xf numFmtId="164" fontId="15" fillId="9" borderId="1" xfId="0" applyFont="true" applyBorder="true" applyAlignment="true" applyProtection="false">
      <alignment horizontal="left" vertical="center" textRotation="0" wrapText="true" indent="1" shrinkToFit="false"/>
      <protection locked="true" hidden="false"/>
    </xf>
    <xf numFmtId="164" fontId="57" fillId="33" borderId="1" xfId="0" applyFont="true" applyBorder="true" applyAlignment="true" applyProtection="false">
      <alignment horizontal="left" vertical="center" textRotation="0" wrapText="true" indent="1" shrinkToFit="false"/>
      <protection locked="true" hidden="false"/>
    </xf>
    <xf numFmtId="164" fontId="15" fillId="38" borderId="1" xfId="0" applyFont="true" applyBorder="true" applyAlignment="true" applyProtection="false">
      <alignment horizontal="left" vertical="center" textRotation="0" wrapText="true" indent="1" shrinkToFit="false"/>
      <protection locked="true" hidden="false"/>
    </xf>
    <xf numFmtId="164" fontId="54" fillId="36" borderId="1" xfId="0" applyFont="true" applyBorder="true" applyAlignment="true" applyProtection="false">
      <alignment horizontal="left" vertical="center" textRotation="0" wrapText="true" indent="1" shrinkToFit="false"/>
      <protection locked="true" hidden="false"/>
    </xf>
    <xf numFmtId="164" fontId="58" fillId="33" borderId="1" xfId="0" applyFont="true" applyBorder="true" applyAlignment="true" applyProtection="false">
      <alignment horizontal="left" vertical="center" textRotation="0" wrapText="true" indent="1" shrinkToFit="false"/>
      <protection locked="true" hidden="false"/>
    </xf>
    <xf numFmtId="164" fontId="11" fillId="38" borderId="1" xfId="0" applyFont="true" applyBorder="true" applyAlignment="true" applyProtection="false">
      <alignment horizontal="center" vertical="center" textRotation="0" wrapText="true" indent="0" shrinkToFit="false"/>
      <protection locked="true" hidden="false"/>
    </xf>
    <xf numFmtId="164" fontId="11" fillId="38" borderId="1" xfId="0" applyFont="true" applyBorder="true" applyAlignment="true" applyProtection="false">
      <alignment horizontal="left" vertical="center" textRotation="0" wrapText="true" indent="1" shrinkToFit="false"/>
      <protection locked="true" hidden="false"/>
    </xf>
    <xf numFmtId="164" fontId="12" fillId="36" borderId="1" xfId="0" applyFont="true" applyBorder="true" applyAlignment="true" applyProtection="false">
      <alignment horizontal="center" vertical="center" textRotation="0" wrapText="true" indent="0" shrinkToFit="false"/>
      <protection locked="true" hidden="false"/>
    </xf>
    <xf numFmtId="164" fontId="59" fillId="12" borderId="1" xfId="0" applyFont="true" applyBorder="true" applyAlignment="true" applyProtection="false">
      <alignment horizontal="left" vertical="center" textRotation="0" wrapText="true" indent="1" shrinkToFit="false"/>
      <protection locked="true" hidden="false"/>
    </xf>
    <xf numFmtId="164" fontId="11" fillId="13" borderId="1" xfId="0" applyFont="true" applyBorder="true" applyAlignment="true" applyProtection="false">
      <alignment horizontal="center" vertical="center"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1" shrinkToFit="false"/>
      <protection locked="true" hidden="false"/>
    </xf>
    <xf numFmtId="164" fontId="12" fillId="26" borderId="1" xfId="0" applyFont="true" applyBorder="true" applyAlignment="true" applyProtection="false">
      <alignment horizontal="center" vertical="center" textRotation="0" wrapText="true" indent="0" shrinkToFit="false"/>
      <protection locked="true" hidden="false"/>
    </xf>
    <xf numFmtId="164" fontId="60" fillId="6" borderId="1" xfId="0" applyFont="true" applyBorder="true" applyAlignment="true" applyProtection="false">
      <alignment horizontal="left" vertical="center" textRotation="0" wrapText="true" indent="1"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1" shrinkToFit="false"/>
      <protection locked="true" hidden="false"/>
    </xf>
    <xf numFmtId="164" fontId="12" fillId="24" borderId="1" xfId="0" applyFont="true" applyBorder="true" applyAlignment="true" applyProtection="false">
      <alignment horizontal="center" vertical="center" textRotation="0" wrapText="true" indent="0" shrinkToFit="false"/>
      <protection locked="true" hidden="false"/>
    </xf>
    <xf numFmtId="164" fontId="61" fillId="3" borderId="1" xfId="0" applyFont="true" applyBorder="true" applyAlignment="true" applyProtection="false">
      <alignment horizontal="left" vertical="center" textRotation="0" wrapText="tru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1" shrinkToFit="false"/>
      <protection locked="true" hidden="false"/>
    </xf>
    <xf numFmtId="164" fontId="54" fillId="26" borderId="1" xfId="0" applyFont="true" applyBorder="true" applyAlignment="true" applyProtection="false">
      <alignment horizontal="left" vertical="center" textRotation="0" wrapText="true" indent="1" shrinkToFit="false"/>
      <protection locked="true" hidden="false"/>
    </xf>
    <xf numFmtId="164" fontId="62" fillId="39" borderId="1" xfId="0" applyFont="true" applyBorder="true" applyAlignment="true" applyProtection="false">
      <alignment horizontal="left" vertical="center" textRotation="0" wrapText="true" indent="1" shrinkToFit="false"/>
      <protection locked="true" hidden="false"/>
    </xf>
    <xf numFmtId="164" fontId="15" fillId="23" borderId="1" xfId="0" applyFont="true" applyBorder="true" applyAlignment="true" applyProtection="false">
      <alignment horizontal="left" vertical="center" textRotation="0" wrapText="true" indent="1" shrinkToFit="false"/>
      <protection locked="true" hidden="false"/>
    </xf>
    <xf numFmtId="164" fontId="54" fillId="22" borderId="1" xfId="0" applyFont="true" applyBorder="true" applyAlignment="true" applyProtection="false">
      <alignment horizontal="left" vertical="center" textRotation="0" wrapText="true" indent="1" shrinkToFit="false"/>
      <protection locked="true" hidden="false"/>
    </xf>
    <xf numFmtId="164" fontId="20" fillId="40" borderId="1" xfId="0" applyFont="true" applyBorder="true" applyAlignment="true" applyProtection="false">
      <alignment horizontal="center" vertical="center" textRotation="0" wrapText="true" indent="0" shrinkToFit="false"/>
      <protection locked="true" hidden="false"/>
    </xf>
    <xf numFmtId="164" fontId="63" fillId="41" borderId="1" xfId="0" applyFont="true" applyBorder="true" applyAlignment="true" applyProtection="false">
      <alignment horizontal="left" vertical="center" textRotation="0" wrapText="true" indent="1" shrinkToFit="false"/>
      <protection locked="true" hidden="false"/>
    </xf>
    <xf numFmtId="164" fontId="15" fillId="42" borderId="1" xfId="0" applyFont="true" applyBorder="true" applyAlignment="true" applyProtection="false">
      <alignment horizontal="left" vertical="center" textRotation="0" wrapText="true" indent="1" shrinkToFit="false"/>
      <protection locked="true" hidden="false"/>
    </xf>
    <xf numFmtId="164" fontId="54" fillId="27" borderId="1" xfId="0" applyFont="true" applyBorder="true" applyAlignment="true" applyProtection="false">
      <alignment horizontal="left" vertical="center" textRotation="0" wrapText="true" indent="1" shrinkToFit="false"/>
      <protection locked="true" hidden="false"/>
    </xf>
    <xf numFmtId="164" fontId="49" fillId="14" borderId="1" xfId="0" applyFont="true" applyBorder="true" applyAlignment="true" applyProtection="false">
      <alignment horizontal="left" vertical="center" textRotation="0" wrapText="true" indent="1" shrinkToFit="false"/>
      <protection locked="true" hidden="false"/>
    </xf>
    <xf numFmtId="164" fontId="15" fillId="15" borderId="1"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i val="1"/>
        <color rgb="FFC00000"/>
      </font>
      <fill>
        <patternFill>
          <bgColor rgb="FFFBEDED"/>
        </patternFill>
      </fill>
    </dxf>
    <dxf>
      <font>
        <name val="Arial"/>
        <charset val="1"/>
        <family val="0"/>
        <color rgb="FF808080"/>
      </font>
    </dxf>
    <dxf>
      <font>
        <name val="Arial"/>
        <charset val="1"/>
        <family val="0"/>
        <b val="1"/>
        <color rgb="FF375623"/>
      </font>
      <fill>
        <patternFill>
          <bgColor rgb="FFE2EFDA"/>
        </patternFill>
      </fill>
    </dxf>
    <dxf>
      <font>
        <name val="Arial"/>
        <charset val="1"/>
        <family val="0"/>
        <b val="1"/>
        <color rgb="FF808080"/>
      </font>
    </dxf>
  </dxfs>
  <colors>
    <indexedColors>
      <rgbColor rgb="FF000000"/>
      <rgbColor rgb="FFFFFFFF"/>
      <rgbColor rgb="FFC00000"/>
      <rgbColor rgb="FFF2F2F2"/>
      <rgbColor rgb="FF0000FF"/>
      <rgbColor rgb="FFFFFF00"/>
      <rgbColor rgb="FFFDF4F4"/>
      <rgbColor rgb="FFEFF6E9"/>
      <rgbColor rgb="FFF5FAF2"/>
      <rgbColor rgb="FF008000"/>
      <rgbColor rgb="FF000080"/>
      <rgbColor rgb="FF548235"/>
      <rgbColor rgb="FFF7F7F7"/>
      <rgbColor rgb="FF1F7A8C"/>
      <rgbColor rgb="FFBFBFBF"/>
      <rgbColor rgb="FF808080"/>
      <rgbColor rgb="FF878787"/>
      <rgbColor rgb="FF7030A0"/>
      <rgbColor rgb="FFFFF2CC"/>
      <rgbColor rgb="FFD3ECF0"/>
      <rgbColor rgb="FFFEF7F2"/>
      <rgbColor rgb="FFE7E6E6"/>
      <rgbColor rgb="FFF3F6FB"/>
      <rgbColor rgb="FFD9D9D9"/>
      <rgbColor rgb="FF000080"/>
      <rgbColor rgb="FFF8F4FC"/>
      <rgbColor rgb="FFFCE4D6"/>
      <rgbColor rgb="FFF1F8FA"/>
      <rgbColor rgb="FFFCF7F3"/>
      <rgbColor rgb="FFF4F9FD"/>
      <rgbColor rgb="FFFBEDED"/>
      <rgbColor rgb="FFFFFBEF"/>
      <rgbColor rgb="FFF1EAF8"/>
      <rgbColor rgb="FFDDEBF7"/>
      <rgbColor rgb="FFE2EFDA"/>
      <rgbColor rgb="FFFCEEE4"/>
      <rgbColor rgb="FFD9E1F2"/>
      <rgbColor rgb="FFF2E1D5"/>
      <rgbColor rgb="FFE8DDF3"/>
      <rgbColor rgb="FFF8D7D7"/>
      <rgbColor rgb="FF2E74B5"/>
      <rgbColor rgb="FFEAF2FA"/>
      <rgbColor rgb="FFEDEDED"/>
      <rgbColor rgb="FFFFC000"/>
      <rgbColor rgb="FFB8860B"/>
      <rgbColor rgb="FFC55A11"/>
      <rgbColor rgb="FF5F6B7A"/>
      <rgbColor rgb="FF8497B0"/>
      <rgbColor rgb="FF1F3864"/>
      <rgbColor rgb="FF7F7F7F"/>
      <rgbColor rgb="FF375623"/>
      <rgbColor rgb="FF1F2937"/>
      <rgbColor rgb="FF595959"/>
      <rgbColor rgb="FF9C5B3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Indeks beban tugas berwajaran (1.00 = purata 5 negeri sederhana)</a:t>
            </a:r>
          </a:p>
        </c:rich>
      </c:tx>
      <c:overlay val="0"/>
      <c:spPr>
        <a:noFill/>
        <a:ln w="0">
          <a:noFill/>
        </a:ln>
      </c:spPr>
    </c:title>
    <c:autoTitleDeleted val="0"/>
    <c:plotArea>
      <c:barChart>
        <c:barDir val="col"/>
        <c:grouping val="clustered"/>
        <c:varyColors val="0"/>
        <c:ser>
          <c:idx val="0"/>
          <c:order val="0"/>
          <c:tx>
            <c:strRef>
              <c:f>Ringkasan!D17</c:f>
              <c:strCache>
                <c:ptCount val="1"/>
                <c:pt idx="0">
                  <c:v>Indeks Senario A (wajaran HQ)</c:v>
                </c:pt>
              </c:strCache>
            </c:strRef>
          </c:tx>
          <c:spPr>
            <a:solidFill>
              <a:srgbClr val="1f4e79"/>
            </a:solidFill>
            <a:ln w="0">
              <a:solidFill>
                <a:srgbClr val="1f4e79"/>
              </a:solid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Ringkasan!$B$18:$B$26</c:f>
              <c:strCache>
                <c:ptCount val="9"/>
                <c:pt idx="0">
                  <c:v>Sarawak</c:v>
                </c:pt>
                <c:pt idx="1">
                  <c:v>Sabah</c:v>
                </c:pt>
                <c:pt idx="2">
                  <c:v>Johor</c:v>
                </c:pt>
                <c:pt idx="3">
                  <c:v>Perak</c:v>
                </c:pt>
                <c:pt idx="4">
                  <c:v>Selangor</c:v>
                </c:pt>
                <c:pt idx="5">
                  <c:v>Kedah</c:v>
                </c:pt>
                <c:pt idx="6">
                  <c:v>Pahang</c:v>
                </c:pt>
                <c:pt idx="7">
                  <c:v>Terengganu</c:v>
                </c:pt>
                <c:pt idx="8">
                  <c:v>Kelantan</c:v>
                </c:pt>
              </c:strCache>
            </c:strRef>
          </c:cat>
          <c:val>
            <c:numRef>
              <c:f>Ringkasan!$D$18:$D$26</c:f>
              <c:numCache>
                <c:formatCode>0.00</c:formatCode>
                <c:ptCount val="9"/>
                <c:pt idx="0">
                  <c:v>2.17516194641754</c:v>
                </c:pt>
                <c:pt idx="1">
                  <c:v>1.67967332051702</c:v>
                </c:pt>
                <c:pt idx="2">
                  <c:v>1.15259116316119</c:v>
                </c:pt>
                <c:pt idx="3">
                  <c:v>1.47533556840561</c:v>
                </c:pt>
                <c:pt idx="4">
                  <c:v>1.22146521807016</c:v>
                </c:pt>
                <c:pt idx="5">
                  <c:v>1.12000287993917</c:v>
                </c:pt>
                <c:pt idx="6">
                  <c:v>1.06475370671859</c:v>
                </c:pt>
                <c:pt idx="7">
                  <c:v>0.912500068129639</c:v>
                </c:pt>
                <c:pt idx="8">
                  <c:v>0.689298269452862</c:v>
                </c:pt>
              </c:numCache>
            </c:numRef>
          </c:val>
        </c:ser>
        <c:ser>
          <c:idx val="1"/>
          <c:order val="1"/>
          <c:tx>
            <c:strRef>
              <c:f>Ringkasan!F17</c:f>
              <c:strCache>
                <c:ptCount val="1"/>
                <c:pt idx="0">
                  <c:v>Indeks Senario B (+ keluasan)</c:v>
                </c:pt>
              </c:strCache>
            </c:strRef>
          </c:tx>
          <c:spPr>
            <a:solidFill>
              <a:srgbClr val="b8860b"/>
            </a:solidFill>
            <a:ln w="0">
              <a:solidFill>
                <a:srgbClr val="b8860b"/>
              </a:solid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Ringkasan!$B$18:$B$26</c:f>
              <c:strCache>
                <c:ptCount val="9"/>
                <c:pt idx="0">
                  <c:v>Sarawak</c:v>
                </c:pt>
                <c:pt idx="1">
                  <c:v>Sabah</c:v>
                </c:pt>
                <c:pt idx="2">
                  <c:v>Johor</c:v>
                </c:pt>
                <c:pt idx="3">
                  <c:v>Perak</c:v>
                </c:pt>
                <c:pt idx="4">
                  <c:v>Selangor</c:v>
                </c:pt>
                <c:pt idx="5">
                  <c:v>Kedah</c:v>
                </c:pt>
                <c:pt idx="6">
                  <c:v>Pahang</c:v>
                </c:pt>
                <c:pt idx="7">
                  <c:v>Terengganu</c:v>
                </c:pt>
                <c:pt idx="8">
                  <c:v>Kelantan</c:v>
                </c:pt>
              </c:strCache>
            </c:strRef>
          </c:cat>
          <c:val>
            <c:numRef>
              <c:f>Ringkasan!$F$18:$F$26</c:f>
              <c:numCache>
                <c:formatCode>0.00</c:formatCode>
                <c:ptCount val="9"/>
                <c:pt idx="0">
                  <c:v>2.71764575177578</c:v>
                </c:pt>
                <c:pt idx="1">
                  <c:v>1.9630281258699</c:v>
                </c:pt>
                <c:pt idx="2">
                  <c:v>1.15464502394431</c:v>
                </c:pt>
                <c:pt idx="3">
                  <c:v>1.45626002683223</c:v>
                </c:pt>
                <c:pt idx="4">
                  <c:v>1.14880877259902</c:v>
                </c:pt>
                <c:pt idx="5">
                  <c:v>1.06601785912082</c:v>
                </c:pt>
                <c:pt idx="6">
                  <c:v>1.17896230551238</c:v>
                </c:pt>
                <c:pt idx="7">
                  <c:v>0.900853114751789</c:v>
                </c:pt>
                <c:pt idx="8">
                  <c:v>0.712576076095362</c:v>
                </c:pt>
              </c:numCache>
            </c:numRef>
          </c:val>
        </c:ser>
        <c:gapWidth val="150"/>
        <c:overlap val="0"/>
        <c:axId val="50412027"/>
        <c:axId val="85352672"/>
      </c:barChart>
      <c:catAx>
        <c:axId val="504120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352672"/>
        <c:crosses val="autoZero"/>
        <c:auto val="1"/>
        <c:lblAlgn val="ctr"/>
        <c:lblOffset val="100"/>
        <c:noMultiLvlLbl val="0"/>
      </c:catAx>
      <c:valAx>
        <c:axId val="85352672"/>
        <c:scaling>
          <c:orientation val="minMax"/>
          <c:min val="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Indeks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41202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30</xdr:row>
      <xdr:rowOff>0</xdr:rowOff>
    </xdr:from>
    <xdr:to>
      <xdr:col>9</xdr:col>
      <xdr:colOff>344880</xdr:colOff>
      <xdr:row>47</xdr:row>
      <xdr:rowOff>181080</xdr:rowOff>
    </xdr:to>
    <xdr:graphicFrame>
      <xdr:nvGraphicFramePr>
        <xdr:cNvPr id="0" name="Chart 1"/>
        <xdr:cNvGraphicFramePr/>
      </xdr:nvGraphicFramePr>
      <xdr:xfrm>
        <a:off x="211320" y="8953560"/>
        <a:ext cx="97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B1:J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7"/>
    <col collapsed="false" customWidth="true" hidden="false" outlineLevel="0" max="4" min="4" style="0" width="15"/>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16"/>
    <col collapsed="false" customWidth="true" hidden="false" outlineLevel="0" max="10" min="9" style="0" width="14"/>
  </cols>
  <sheetData>
    <row r="1" customFormat="false" ht="30" hidden="false" customHeight="true" outlineLevel="0" collapsed="false">
      <c r="B1" s="1" t="s">
        <v>0</v>
      </c>
      <c r="C1" s="1"/>
      <c r="D1" s="1"/>
      <c r="E1" s="1"/>
      <c r="F1" s="1"/>
      <c r="G1" s="1"/>
      <c r="H1" s="1"/>
      <c r="I1" s="1"/>
      <c r="J1" s="1"/>
    </row>
    <row r="2" customFormat="false" ht="31.5" hidden="false" customHeight="true" outlineLevel="0" collapsed="false">
      <c r="B2" s="2" t="s">
        <v>1</v>
      </c>
      <c r="C2" s="2"/>
      <c r="D2" s="2"/>
      <c r="E2" s="2"/>
      <c r="F2" s="2"/>
      <c r="G2" s="2"/>
      <c r="H2" s="2"/>
      <c r="I2" s="2"/>
      <c r="J2" s="2"/>
    </row>
    <row r="3" customFormat="false" ht="17.25" hidden="false" customHeight="true" outlineLevel="0" collapsed="false">
      <c r="B3" s="3" t="s">
        <v>2</v>
      </c>
      <c r="C3" s="3"/>
      <c r="D3" s="3"/>
      <c r="E3" s="3"/>
      <c r="F3" s="3"/>
      <c r="G3" s="3"/>
      <c r="H3" s="3"/>
      <c r="I3" s="3"/>
      <c r="J3" s="3"/>
    </row>
    <row r="5" customFormat="false" ht="19.5" hidden="false" customHeight="true" outlineLevel="0" collapsed="false">
      <c r="B5" s="4" t="s">
        <v>3</v>
      </c>
      <c r="C5" s="4"/>
      <c r="D5" s="4"/>
      <c r="E5" s="4"/>
      <c r="F5" s="4"/>
      <c r="G5" s="4"/>
      <c r="H5" s="4"/>
      <c r="I5" s="4"/>
      <c r="J5" s="4"/>
    </row>
    <row r="6" customFormat="false" ht="31.5" hidden="false" customHeight="true" outlineLevel="0" collapsed="false">
      <c r="B6" s="5" t="s">
        <v>4</v>
      </c>
      <c r="C6" s="6" t="s">
        <v>5</v>
      </c>
      <c r="D6" s="7" t="s">
        <v>6</v>
      </c>
      <c r="E6" s="7"/>
      <c r="F6" s="7"/>
      <c r="G6" s="7"/>
      <c r="H6" s="7"/>
      <c r="I6" s="7"/>
      <c r="J6" s="7"/>
    </row>
    <row r="7" customFormat="false" ht="31.5" hidden="false" customHeight="true" outlineLevel="0" collapsed="false">
      <c r="B7" s="8" t="s">
        <v>7</v>
      </c>
      <c r="C7" s="9" t="n">
        <v>99</v>
      </c>
      <c r="D7" s="10" t="s">
        <v>8</v>
      </c>
      <c r="E7" s="10"/>
      <c r="F7" s="10"/>
      <c r="G7" s="10"/>
      <c r="H7" s="10"/>
      <c r="I7" s="10"/>
      <c r="J7" s="10"/>
    </row>
    <row r="8" customFormat="false" ht="31.5" hidden="false" customHeight="true" outlineLevel="0" collapsed="false">
      <c r="B8" s="11" t="s">
        <v>9</v>
      </c>
      <c r="C8" s="12" t="n">
        <v>3</v>
      </c>
      <c r="D8" s="13" t="s">
        <v>10</v>
      </c>
      <c r="E8" s="13"/>
      <c r="F8" s="13"/>
      <c r="G8" s="13"/>
      <c r="H8" s="13"/>
      <c r="I8" s="13"/>
      <c r="J8" s="13"/>
    </row>
    <row r="9" customFormat="false" ht="31.5" hidden="false" customHeight="true" outlineLevel="0" collapsed="false">
      <c r="B9" s="14" t="s">
        <v>11</v>
      </c>
      <c r="C9" s="15" t="n">
        <v>0.2</v>
      </c>
      <c r="D9" s="16" t="s">
        <v>12</v>
      </c>
      <c r="E9" s="16"/>
      <c r="F9" s="16"/>
      <c r="G9" s="16"/>
      <c r="H9" s="16"/>
      <c r="I9" s="16"/>
      <c r="J9" s="16"/>
    </row>
    <row r="10" customFormat="false" ht="31.5" hidden="false" customHeight="true" outlineLevel="0" collapsed="false">
      <c r="B10" s="17" t="s">
        <v>13</v>
      </c>
      <c r="C10" s="15" t="n">
        <v>0.15</v>
      </c>
      <c r="D10" s="18" t="s">
        <v>12</v>
      </c>
      <c r="E10" s="18"/>
      <c r="F10" s="18"/>
      <c r="G10" s="18"/>
      <c r="H10" s="18"/>
      <c r="I10" s="18"/>
      <c r="J10" s="18"/>
    </row>
    <row r="11" customFormat="false" ht="31.5" hidden="false" customHeight="true" outlineLevel="0" collapsed="false">
      <c r="B11" s="8" t="s">
        <v>14</v>
      </c>
      <c r="C11" s="15" t="n">
        <v>0.15</v>
      </c>
      <c r="D11" s="10" t="s">
        <v>12</v>
      </c>
      <c r="E11" s="10"/>
      <c r="F11" s="10"/>
      <c r="G11" s="10"/>
      <c r="H11" s="10"/>
      <c r="I11" s="10"/>
      <c r="J11" s="10"/>
    </row>
    <row r="12" customFormat="false" ht="31.5" hidden="false" customHeight="true" outlineLevel="0" collapsed="false">
      <c r="B12" s="5" t="s">
        <v>15</v>
      </c>
      <c r="C12" s="15" t="n">
        <v>0.5</v>
      </c>
      <c r="D12" s="7" t="s">
        <v>12</v>
      </c>
      <c r="E12" s="7"/>
      <c r="F12" s="7"/>
      <c r="G12" s="7"/>
      <c r="H12" s="7"/>
      <c r="I12" s="7"/>
      <c r="J12" s="7"/>
    </row>
    <row r="13" customFormat="false" ht="31.5" hidden="false" customHeight="true" outlineLevel="0" collapsed="false">
      <c r="B13" s="19" t="s">
        <v>16</v>
      </c>
      <c r="C13" s="20" t="n">
        <f aca="false">SUM(C9:C12)</f>
        <v>1</v>
      </c>
      <c r="D13" s="21" t="str">
        <f aca="false">IF(ABS(C13-1)&lt;0.00001,"OK: jumlah wajaran 100%","SEMAK: jumlah wajaran bukan 100%")</f>
        <v>OK: jumlah wajaran 100%</v>
      </c>
      <c r="E13" s="21"/>
      <c r="F13" s="21"/>
      <c r="G13" s="21"/>
      <c r="H13" s="21"/>
      <c r="I13" s="21"/>
      <c r="J13" s="21"/>
    </row>
    <row r="14" customFormat="false" ht="31.5" hidden="false" customHeight="true" outlineLevel="0" collapsed="false">
      <c r="B14" s="22" t="s">
        <v>17</v>
      </c>
      <c r="C14" s="15" t="n">
        <v>0.1</v>
      </c>
      <c r="D14" s="23" t="s">
        <v>18</v>
      </c>
      <c r="E14" s="23"/>
      <c r="F14" s="23"/>
      <c r="G14" s="23"/>
      <c r="H14" s="23"/>
      <c r="I14" s="23"/>
      <c r="J14" s="23"/>
    </row>
    <row r="16" customFormat="false" ht="19.5" hidden="false" customHeight="true" outlineLevel="0" collapsed="false">
      <c r="B16" s="4" t="s">
        <v>19</v>
      </c>
      <c r="C16" s="4"/>
      <c r="D16" s="4"/>
      <c r="E16" s="4"/>
      <c r="F16" s="4"/>
      <c r="G16" s="4"/>
      <c r="H16" s="4"/>
      <c r="I16" s="4"/>
      <c r="J16" s="4"/>
    </row>
    <row r="17" customFormat="false" ht="29.25" hidden="false" customHeight="true" outlineLevel="0" collapsed="false">
      <c r="B17" s="24" t="s">
        <v>20</v>
      </c>
      <c r="C17" s="24" t="s">
        <v>21</v>
      </c>
      <c r="D17" s="24" t="s">
        <v>22</v>
      </c>
      <c r="E17" s="24" t="s">
        <v>23</v>
      </c>
      <c r="F17" s="24" t="s">
        <v>24</v>
      </c>
      <c r="G17" s="24" t="s">
        <v>25</v>
      </c>
      <c r="H17" s="24" t="s">
        <v>26</v>
      </c>
      <c r="I17" s="24" t="s">
        <v>27</v>
      </c>
      <c r="J17" s="24" t="s">
        <v>28</v>
      </c>
    </row>
    <row r="18" customFormat="false" ht="18" hidden="false" customHeight="true" outlineLevel="0" collapsed="false">
      <c r="B18" s="25" t="s">
        <v>29</v>
      </c>
      <c r="C18" s="26" t="s">
        <v>30</v>
      </c>
      <c r="D18" s="27" t="n">
        <f aca="false">'Skor Senario A'!I38</f>
        <v>2.17516194641754</v>
      </c>
      <c r="E18" s="28" t="n">
        <f aca="false">'Skor Senario A'!I39</f>
        <v>1</v>
      </c>
      <c r="F18" s="27" t="n">
        <f aca="false">'Senario B Geografi'!D20</f>
        <v>2.71764575177578</v>
      </c>
      <c r="G18" s="28" t="n">
        <f aca="false">'Senario B Geografi'!D21</f>
        <v>1</v>
      </c>
      <c r="H18" s="29" t="n">
        <f aca="false">'Skor Senario A'!I42</f>
        <v>2.22389885584783</v>
      </c>
      <c r="I18" s="28" t="n">
        <f aca="false">'Skor Senario A'!I40</f>
        <v>17</v>
      </c>
      <c r="J18" s="30" t="n">
        <f aca="false">'Skor Senario A'!I41</f>
        <v>0.605357142857143</v>
      </c>
    </row>
    <row r="19" customFormat="false" ht="18" hidden="false" customHeight="true" outlineLevel="0" collapsed="false">
      <c r="B19" s="25" t="s">
        <v>31</v>
      </c>
      <c r="C19" s="26" t="s">
        <v>30</v>
      </c>
      <c r="D19" s="27" t="n">
        <f aca="false">'Skor Senario A'!J38</f>
        <v>1.67967332051702</v>
      </c>
      <c r="E19" s="28" t="n">
        <f aca="false">'Skor Senario A'!J39</f>
        <v>2</v>
      </c>
      <c r="F19" s="27" t="n">
        <f aca="false">'Senario B Geografi'!E20</f>
        <v>1.9630281258699</v>
      </c>
      <c r="G19" s="28" t="n">
        <f aca="false">'Senario B Geografi'!E21</f>
        <v>2</v>
      </c>
      <c r="H19" s="29" t="n">
        <f aca="false">'Skor Senario A'!J42</f>
        <v>1.94057996885018</v>
      </c>
      <c r="I19" s="28" t="n">
        <f aca="false">'Skor Senario A'!J40</f>
        <v>17</v>
      </c>
      <c r="J19" s="30" t="n">
        <f aca="false">'Skor Senario A'!J41</f>
        <v>0.605357142857143</v>
      </c>
    </row>
    <row r="20" customFormat="false" ht="18" hidden="false" customHeight="true" outlineLevel="0" collapsed="false">
      <c r="B20" s="25" t="s">
        <v>32</v>
      </c>
      <c r="C20" s="26" t="s">
        <v>30</v>
      </c>
      <c r="D20" s="27" t="n">
        <f aca="false">'Skor Senario A'!K38</f>
        <v>1.15259116316119</v>
      </c>
      <c r="E20" s="28" t="n">
        <f aca="false">'Skor Senario A'!K39</f>
        <v>5</v>
      </c>
      <c r="F20" s="27" t="n">
        <f aca="false">'Senario B Geografi'!F20</f>
        <v>1.15464502394431</v>
      </c>
      <c r="G20" s="28" t="n">
        <f aca="false">'Senario B Geografi'!F21</f>
        <v>5</v>
      </c>
      <c r="H20" s="29" t="n">
        <f aca="false">'Skor Senario A'!K42</f>
        <v>1.55110374446626</v>
      </c>
      <c r="I20" s="28" t="n">
        <f aca="false">'Skor Senario A'!K40</f>
        <v>17</v>
      </c>
      <c r="J20" s="30" t="n">
        <f aca="false">'Skor Senario A'!K41</f>
        <v>0.605357142857143</v>
      </c>
    </row>
    <row r="21" customFormat="false" ht="18" hidden="false" customHeight="true" outlineLevel="0" collapsed="false">
      <c r="B21" s="25" t="s">
        <v>33</v>
      </c>
      <c r="C21" s="26" t="s">
        <v>30</v>
      </c>
      <c r="D21" s="27" t="n">
        <f aca="false">'Skor Senario A'!L38</f>
        <v>1.47533556840561</v>
      </c>
      <c r="E21" s="28" t="n">
        <f aca="false">'Skor Senario A'!L39</f>
        <v>3</v>
      </c>
      <c r="F21" s="27" t="n">
        <f aca="false">'Senario B Geografi'!G20</f>
        <v>1.45626002683223</v>
      </c>
      <c r="G21" s="28" t="n">
        <f aca="false">'Senario B Geografi'!G21</f>
        <v>3</v>
      </c>
      <c r="H21" s="29" t="n">
        <f aca="false">'Skor Senario A'!L42</f>
        <v>1.30943267089077</v>
      </c>
      <c r="I21" s="28" t="n">
        <f aca="false">'Skor Senario A'!L40</f>
        <v>17</v>
      </c>
      <c r="J21" s="30" t="n">
        <f aca="false">'Skor Senario A'!L41</f>
        <v>0.605357142857143</v>
      </c>
    </row>
    <row r="22" customFormat="false" ht="18" hidden="false" customHeight="true" outlineLevel="0" collapsed="false">
      <c r="B22" s="31" t="s">
        <v>34</v>
      </c>
      <c r="C22" s="32" t="s">
        <v>35</v>
      </c>
      <c r="D22" s="33" t="n">
        <f aca="false">'Skor Senario A'!M38</f>
        <v>1.22146521807016</v>
      </c>
      <c r="E22" s="34" t="n">
        <f aca="false">'Skor Senario A'!M39</f>
        <v>4</v>
      </c>
      <c r="F22" s="33" t="n">
        <f aca="false">'Senario B Geografi'!H20</f>
        <v>1.14880877259902</v>
      </c>
      <c r="G22" s="34" t="n">
        <f aca="false">'Senario B Geografi'!H21</f>
        <v>6</v>
      </c>
      <c r="H22" s="35" t="n">
        <f aca="false">'Skor Senario A'!M42</f>
        <v>1.18631952704448</v>
      </c>
      <c r="I22" s="34" t="n">
        <f aca="false">'Skor Senario A'!M40</f>
        <v>17</v>
      </c>
      <c r="J22" s="36" t="n">
        <f aca="false">'Skor Senario A'!M41</f>
        <v>0.605357142857143</v>
      </c>
    </row>
    <row r="23" customFormat="false" ht="18" hidden="false" customHeight="true" outlineLevel="0" collapsed="false">
      <c r="B23" s="31" t="s">
        <v>36</v>
      </c>
      <c r="C23" s="32" t="s">
        <v>35</v>
      </c>
      <c r="D23" s="33" t="n">
        <f aca="false">'Skor Senario A'!N38</f>
        <v>1.12000287993917</v>
      </c>
      <c r="E23" s="34" t="n">
        <f aca="false">'Skor Senario A'!N39</f>
        <v>6</v>
      </c>
      <c r="F23" s="33" t="n">
        <f aca="false">'Senario B Geografi'!I20</f>
        <v>1.06601785912082</v>
      </c>
      <c r="G23" s="34" t="n">
        <f aca="false">'Senario B Geografi'!I21</f>
        <v>7</v>
      </c>
      <c r="H23" s="35" t="n">
        <f aca="false">'Skor Senario A'!N42</f>
        <v>1.12490173018971</v>
      </c>
      <c r="I23" s="34" t="n">
        <f aca="false">'Skor Senario A'!N40</f>
        <v>16</v>
      </c>
      <c r="J23" s="36" t="n">
        <f aca="false">'Skor Senario A'!N41</f>
        <v>0.567857142857143</v>
      </c>
    </row>
    <row r="24" customFormat="false" ht="18" hidden="false" customHeight="true" outlineLevel="0" collapsed="false">
      <c r="B24" s="31" t="s">
        <v>37</v>
      </c>
      <c r="C24" s="32" t="s">
        <v>35</v>
      </c>
      <c r="D24" s="33" t="n">
        <f aca="false">'Skor Senario A'!O38</f>
        <v>1.06475370671859</v>
      </c>
      <c r="E24" s="34" t="n">
        <f aca="false">'Skor Senario A'!O39</f>
        <v>7</v>
      </c>
      <c r="F24" s="33" t="n">
        <f aca="false">'Senario B Geografi'!J20</f>
        <v>1.17896230551238</v>
      </c>
      <c r="G24" s="34" t="n">
        <f aca="false">'Senario B Geografi'!J21</f>
        <v>4</v>
      </c>
      <c r="H24" s="35" t="n">
        <f aca="false">'Skor Senario A'!O42</f>
        <v>0.980077851330256</v>
      </c>
      <c r="I24" s="34" t="n">
        <f aca="false">'Skor Senario A'!O40</f>
        <v>16</v>
      </c>
      <c r="J24" s="36" t="n">
        <f aca="false">'Skor Senario A'!O41</f>
        <v>0.567857142857143</v>
      </c>
    </row>
    <row r="25" customFormat="false" ht="18" hidden="false" customHeight="true" outlineLevel="0" collapsed="false">
      <c r="B25" s="31" t="s">
        <v>38</v>
      </c>
      <c r="C25" s="32" t="s">
        <v>35</v>
      </c>
      <c r="D25" s="33" t="n">
        <f aca="false">'Skor Senario A'!P38</f>
        <v>0.912500068129639</v>
      </c>
      <c r="E25" s="34" t="n">
        <f aca="false">'Skor Senario A'!P39</f>
        <v>8</v>
      </c>
      <c r="F25" s="33" t="n">
        <f aca="false">'Senario B Geografi'!K20</f>
        <v>0.900853114751789</v>
      </c>
      <c r="G25" s="34" t="n">
        <f aca="false">'Senario B Geografi'!K21</f>
        <v>8</v>
      </c>
      <c r="H25" s="35" t="n">
        <f aca="false">'Skor Senario A'!P42</f>
        <v>0.809279330964661</v>
      </c>
      <c r="I25" s="34" t="n">
        <f aca="false">'Skor Senario A'!P40</f>
        <v>17</v>
      </c>
      <c r="J25" s="36" t="n">
        <f aca="false">'Skor Senario A'!P41</f>
        <v>0.605357142857143</v>
      </c>
    </row>
    <row r="26" customFormat="false" ht="18" hidden="false" customHeight="true" outlineLevel="0" collapsed="false">
      <c r="B26" s="31" t="s">
        <v>39</v>
      </c>
      <c r="C26" s="32" t="s">
        <v>35</v>
      </c>
      <c r="D26" s="33" t="n">
        <f aca="false">'Skor Senario A'!Q38</f>
        <v>0.689298269452862</v>
      </c>
      <c r="E26" s="34" t="n">
        <f aca="false">'Skor Senario A'!Q39</f>
        <v>9</v>
      </c>
      <c r="F26" s="33" t="n">
        <f aca="false">'Senario B Geografi'!L20</f>
        <v>0.712576076095362</v>
      </c>
      <c r="G26" s="34" t="n">
        <f aca="false">'Senario B Geografi'!L21</f>
        <v>9</v>
      </c>
      <c r="H26" s="35" t="n">
        <f aca="false">'Skor Senario A'!Q42</f>
        <v>0.915461845091723</v>
      </c>
      <c r="I26" s="34" t="n">
        <f aca="false">'Skor Senario A'!Q40</f>
        <v>17</v>
      </c>
      <c r="J26" s="36" t="n">
        <f aca="false">'Skor Senario A'!Q41</f>
        <v>0.605357142857143</v>
      </c>
    </row>
    <row r="27" customFormat="false" ht="18" hidden="false" customHeight="true" outlineLevel="0" collapsed="false">
      <c r="B27" s="37" t="s">
        <v>40</v>
      </c>
      <c r="C27" s="38"/>
      <c r="D27" s="39" t="n">
        <f aca="false">AVERAGE(D22:D26)</f>
        <v>1.00160402846208</v>
      </c>
      <c r="E27" s="38"/>
      <c r="F27" s="39" t="n">
        <f aca="false">AVERAGE(F22:F26)</f>
        <v>1.00144362561587</v>
      </c>
      <c r="G27" s="38"/>
      <c r="H27" s="39" t="n">
        <f aca="false">AVERAGE(H22:H26)</f>
        <v>1.00320805692417</v>
      </c>
      <c r="I27" s="40" t="n">
        <f aca="false">AVERAGE(I22:I26)</f>
        <v>16.6</v>
      </c>
      <c r="J27" s="41" t="n">
        <f aca="false">AVERAGE(J22:J26)</f>
        <v>0.590357142857143</v>
      </c>
    </row>
    <row r="28" customFormat="false" ht="18" hidden="false" customHeight="true" outlineLevel="0" collapsed="false">
      <c r="B28" s="37" t="s">
        <v>41</v>
      </c>
      <c r="C28" s="38"/>
      <c r="D28" s="39" t="n">
        <f aca="false">AVERAGE(D18:D21)</f>
        <v>1.62069049962534</v>
      </c>
      <c r="E28" s="38"/>
      <c r="F28" s="39" t="n">
        <f aca="false">AVERAGE(F18:F21)</f>
        <v>1.82289473210556</v>
      </c>
      <c r="G28" s="38"/>
      <c r="H28" s="39" t="n">
        <f aca="false">AVERAGE(H18:H21)</f>
        <v>1.75625381001376</v>
      </c>
      <c r="I28" s="40" t="n">
        <f aca="false">AVERAGE(I18:I21)</f>
        <v>17</v>
      </c>
      <c r="J28" s="41" t="n">
        <f aca="false">AVERAGE(J18:J21)</f>
        <v>0.605357142857143</v>
      </c>
    </row>
    <row r="29" customFormat="false" ht="31.5" hidden="false" customHeight="true" outlineLevel="0" collapsed="false">
      <c r="B29" s="42" t="str">
        <f aca="false">"Tafsiran: Senario A, Sarawak "&amp;TEXT(D18,"0.00")&amp;"x, Sabah "&amp;TEXT(D19,"0.00")&amp;"x, Johor "&amp;TEXT(D20,"0.00")&amp;"x dan Perak "&amp;TEXT(D21,"0.00")&amp;"x purata negeri sederhana. Senario B: "&amp;TEXT(F18,"0.00")&amp;"x, "&amp;TEXT(F19,"0.00")&amp;"x, "&amp;TEXT(F20,"0.00")&amp;"x dan "&amp;TEXT(F21,"0.00")&amp;"x. Liputan data: "&amp;TEXT(J18,"0%")&amp;" kerangka HQ (ikut wajaran)."</f>
        <v>Tafsiran: Senario A, Sarawak 2.18x, Sabah 1.68x, Johor 1.15x dan Perak 1.48x purata negeri sederhana. Senario B: 2.72x, 1.96x, 1.15x dan 1.46x. Liputan data: 61% kerangka HQ (ikut wajaran).</v>
      </c>
      <c r="C29" s="42"/>
      <c r="D29" s="42"/>
      <c r="E29" s="42"/>
      <c r="F29" s="42"/>
      <c r="G29" s="42"/>
      <c r="H29" s="42"/>
      <c r="I29" s="42"/>
      <c r="J29" s="42"/>
    </row>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2" customFormat="false" ht="19.5" hidden="false" customHeight="true" outlineLevel="0" collapsed="false">
      <c r="B52" s="4" t="s">
        <v>42</v>
      </c>
      <c r="C52" s="4"/>
      <c r="D52" s="4"/>
      <c r="E52" s="4"/>
      <c r="F52" s="4"/>
      <c r="G52" s="4"/>
      <c r="H52" s="4"/>
      <c r="I52" s="4"/>
      <c r="J52" s="4"/>
    </row>
    <row r="53" customFormat="false" ht="45" hidden="false" customHeight="true" outlineLevel="0" collapsed="false">
      <c r="B53" s="43" t="s">
        <v>43</v>
      </c>
      <c r="C53" s="44" t="s">
        <v>44</v>
      </c>
      <c r="D53" s="44"/>
      <c r="E53" s="44"/>
      <c r="F53" s="44"/>
      <c r="G53" s="44"/>
      <c r="H53" s="44"/>
      <c r="I53" s="44"/>
      <c r="J53" s="44"/>
    </row>
    <row r="54" customFormat="false" ht="45" hidden="false" customHeight="true" outlineLevel="0" collapsed="false">
      <c r="B54" s="45" t="s">
        <v>45</v>
      </c>
      <c r="C54" s="46" t="s">
        <v>46</v>
      </c>
      <c r="D54" s="46"/>
      <c r="E54" s="46"/>
      <c r="F54" s="46"/>
      <c r="G54" s="46"/>
      <c r="H54" s="46"/>
      <c r="I54" s="46"/>
      <c r="J54" s="46"/>
    </row>
    <row r="55" customFormat="false" ht="45" hidden="false" customHeight="true" outlineLevel="0" collapsed="false">
      <c r="B55" s="47" t="s">
        <v>47</v>
      </c>
      <c r="C55" s="48" t="s">
        <v>48</v>
      </c>
      <c r="D55" s="48"/>
      <c r="E55" s="48"/>
      <c r="F55" s="48"/>
      <c r="G55" s="48"/>
      <c r="H55" s="48"/>
      <c r="I55" s="48"/>
      <c r="J55" s="48"/>
    </row>
    <row r="56" customFormat="false" ht="45" hidden="false" customHeight="true" outlineLevel="0" collapsed="false">
      <c r="B56" s="49" t="s">
        <v>49</v>
      </c>
      <c r="C56" s="50" t="s">
        <v>50</v>
      </c>
      <c r="D56" s="50"/>
      <c r="E56" s="50"/>
      <c r="F56" s="50"/>
      <c r="G56" s="50"/>
      <c r="H56" s="50"/>
      <c r="I56" s="50"/>
      <c r="J56" s="50"/>
    </row>
    <row r="57" customFormat="false" ht="45" hidden="false" customHeight="true" outlineLevel="0" collapsed="false">
      <c r="B57" s="51" t="s">
        <v>51</v>
      </c>
      <c r="C57" s="52" t="s">
        <v>52</v>
      </c>
      <c r="D57" s="52"/>
      <c r="E57" s="52"/>
      <c r="F57" s="52"/>
      <c r="G57" s="52"/>
      <c r="H57" s="52"/>
      <c r="I57" s="52"/>
      <c r="J57" s="52"/>
    </row>
    <row r="58" customFormat="false" ht="45" hidden="false" customHeight="true" outlineLevel="0" collapsed="false">
      <c r="B58" s="53" t="s">
        <v>53</v>
      </c>
      <c r="C58" s="54" t="s">
        <v>54</v>
      </c>
      <c r="D58" s="54"/>
      <c r="E58" s="54"/>
      <c r="F58" s="54"/>
      <c r="G58" s="54"/>
      <c r="H58" s="54"/>
      <c r="I58" s="54"/>
      <c r="J58" s="54"/>
    </row>
    <row r="59" customFormat="false" ht="45" hidden="false" customHeight="true" outlineLevel="0" collapsed="false">
      <c r="B59" s="55" t="s">
        <v>55</v>
      </c>
      <c r="C59" s="56" t="s">
        <v>56</v>
      </c>
      <c r="D59" s="56"/>
      <c r="E59" s="56"/>
      <c r="F59" s="56"/>
      <c r="G59" s="56"/>
      <c r="H59" s="56"/>
      <c r="I59" s="56"/>
      <c r="J59" s="56"/>
    </row>
  </sheetData>
  <mergeCells count="23">
    <mergeCell ref="B1:J1"/>
    <mergeCell ref="B2:J2"/>
    <mergeCell ref="B3:J3"/>
    <mergeCell ref="B5:J5"/>
    <mergeCell ref="D6:J6"/>
    <mergeCell ref="D7:J7"/>
    <mergeCell ref="D8:J8"/>
    <mergeCell ref="D9:J9"/>
    <mergeCell ref="D10:J10"/>
    <mergeCell ref="D11:J11"/>
    <mergeCell ref="D12:J12"/>
    <mergeCell ref="D13:J13"/>
    <mergeCell ref="D14:J14"/>
    <mergeCell ref="B16:J16"/>
    <mergeCell ref="B29:J29"/>
    <mergeCell ref="B52:J52"/>
    <mergeCell ref="C53:J53"/>
    <mergeCell ref="C54:J54"/>
    <mergeCell ref="C55:J55"/>
    <mergeCell ref="C56:J56"/>
    <mergeCell ref="C57:J57"/>
    <mergeCell ref="C58:J58"/>
    <mergeCell ref="C59:J59"/>
  </mergeCells>
  <dataValidations count="4">
    <dataValidation allowBlank="false" error="Pilih Nasional atau Data HQ." errorStyle="stop" errorTitle="Pilihan tidak sah" operator="between" showDropDown="false" showErrorMessage="true" showInputMessage="false" sqref="C6" type="list">
      <formula1>"Nasional,Data HQ"</formula1>
      <formula2>0</formula2>
    </dataValidation>
    <dataValidation allowBlank="false" error="Masukkan nombor 1 atau lebih (99 = tiada had)." errorStyle="stop" operator="greaterThanOrEqual" showDropDown="false" showErrorMessage="true" showInputMessage="false" sqref="C7" type="decimal">
      <formula1>1</formula1>
      <formula2>0</formula2>
    </dataValidation>
    <dataValidation allowBlank="false" error="Masukkan nombor bulat 1 hingga 5." errorStyle="stop" operator="between" showDropDown="false" showErrorMessage="true" showInputMessage="false" sqref="C8" type="whole">
      <formula1>1</formula1>
      <formula2>5</formula2>
    </dataValidation>
    <dataValidation allowBlank="false" error="Masukkan peratus antara 0% dan 100%." errorStyle="stop" operator="between" showDropDown="false" showErrorMessage="true" showInputMessage="false" sqref="C9:C12 C14" type="decimal">
      <formula1>0</formula1>
      <formula2>1</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60B"/>
    <pageSetUpPr fitToPage="true"/>
  </sheetPr>
  <dimension ref="A1:L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9"/>
    <col collapsed="false" customWidth="true" hidden="false" outlineLevel="0" max="3" min="3" style="0" width="30"/>
    <col collapsed="false" customWidth="true" hidden="false" outlineLevel="0" max="7" min="4" style="0" width="17"/>
    <col collapsed="false" customWidth="true" hidden="false" outlineLevel="0" max="8" min="8" style="0" width="10"/>
    <col collapsed="false" customWidth="true" hidden="false" outlineLevel="0" max="9" min="9" style="0" width="40"/>
    <col collapsed="false" customWidth="true" hidden="false" outlineLevel="0" max="10" min="10" style="0" width="64"/>
    <col collapsed="false" customWidth="true" hidden="false" outlineLevel="0" max="11" min="11" style="0" width="16"/>
    <col collapsed="false" customWidth="true" hidden="false" outlineLevel="0" max="12" min="12" style="0" width="10"/>
  </cols>
  <sheetData>
    <row r="1" customFormat="false" ht="30" hidden="false" customHeight="true" outlineLevel="0" collapsed="false">
      <c r="A1" s="1" t="s">
        <v>57</v>
      </c>
      <c r="B1" s="1"/>
      <c r="C1" s="1"/>
      <c r="D1" s="1"/>
      <c r="E1" s="1"/>
      <c r="F1" s="1"/>
      <c r="G1" s="1"/>
      <c r="H1" s="1"/>
      <c r="I1" s="1"/>
      <c r="J1" s="1"/>
      <c r="K1" s="1"/>
      <c r="L1" s="1"/>
    </row>
    <row r="2" customFormat="false" ht="18" hidden="false" customHeight="true" outlineLevel="0" collapsed="false">
      <c r="A2" s="2" t="str">
        <f aca="false">"Kerangka: HQ - wajaran negeri sederhana v3 | Sumber garis asas: "&amp;P_SUMBER&amp;" | Nilai dipautkan dari sheet Data 9 Negeri (blok D)"</f>
        <v>Kerangka: HQ - wajaran negeri sederhana v3 | Sumber garis asas: Nasional | Nilai dipautkan dari sheet Data 9 Negeri (blok D)</v>
      </c>
      <c r="B2" s="2"/>
      <c r="C2" s="2"/>
      <c r="D2" s="2"/>
      <c r="E2" s="2"/>
      <c r="F2" s="2"/>
      <c r="G2" s="2"/>
      <c r="H2" s="2"/>
      <c r="I2" s="2"/>
      <c r="J2" s="2"/>
      <c r="K2" s="2"/>
      <c r="L2" s="2"/>
    </row>
    <row r="4" customFormat="false" ht="18" hidden="false" customHeight="true" outlineLevel="0" collapsed="false">
      <c r="A4" s="57"/>
      <c r="B4" s="57"/>
      <c r="C4" s="57"/>
      <c r="D4" s="58" t="s">
        <v>20</v>
      </c>
      <c r="E4" s="58"/>
      <c r="F4" s="58"/>
      <c r="G4" s="58"/>
      <c r="H4" s="57"/>
      <c r="I4" s="57"/>
      <c r="J4" s="57"/>
      <c r="K4" s="57"/>
      <c r="L4" s="57"/>
    </row>
    <row r="5" customFormat="false" ht="40.5" hidden="false" customHeight="true" outlineLevel="0" collapsed="false">
      <c r="A5" s="59" t="s">
        <v>58</v>
      </c>
      <c r="B5" s="59" t="s">
        <v>59</v>
      </c>
      <c r="C5" s="59" t="s">
        <v>60</v>
      </c>
      <c r="D5" s="59" t="s">
        <v>29</v>
      </c>
      <c r="E5" s="59" t="s">
        <v>31</v>
      </c>
      <c r="F5" s="59" t="s">
        <v>32</v>
      </c>
      <c r="G5" s="59" t="s">
        <v>33</v>
      </c>
      <c r="H5" s="59" t="s">
        <v>61</v>
      </c>
      <c r="I5" s="59" t="s">
        <v>62</v>
      </c>
      <c r="J5" s="59" t="s">
        <v>63</v>
      </c>
      <c r="K5" s="59" t="s">
        <v>64</v>
      </c>
      <c r="L5" s="59" t="s">
        <v>65</v>
      </c>
    </row>
    <row r="6" customFormat="false" ht="52.5" hidden="false" customHeight="true" outlineLevel="0" collapsed="false">
      <c r="A6" s="60" t="n">
        <v>1</v>
      </c>
      <c r="B6" s="61" t="s">
        <v>66</v>
      </c>
      <c r="C6" s="62" t="s">
        <v>67</v>
      </c>
      <c r="D6" s="63" t="n">
        <f aca="false">IF(ISNUMBER('Data 9 Negeri'!D80),'Data 9 Negeri'!D80,"[DATA BELUM DIKEMUKAKAN]")</f>
        <v>1300</v>
      </c>
      <c r="E6" s="63" t="n">
        <f aca="false">IF(ISNUMBER('Data 9 Negeri'!E80),'Data 9 Negeri'!E80,"[DATA BELUM DIKEMUKAKAN]")</f>
        <v>1402</v>
      </c>
      <c r="F6" s="63" t="n">
        <f aca="false">IF(ISNUMBER('Data 9 Negeri'!F80),'Data 9 Negeri'!F80,"[DATA BELUM DIKEMUKAKAN]")</f>
        <v>1162</v>
      </c>
      <c r="G6" s="63" t="n">
        <f aca="false">IF(ISNUMBER('Data 9 Negeri'!G80),'Data 9 Negeri'!G80,"[DATA BELUM DIKEMUKAKAN]")</f>
        <v>804</v>
      </c>
      <c r="H6" s="64" t="n">
        <f aca="false">W_PAKK</f>
        <v>0.2</v>
      </c>
      <c r="I6" s="65" t="s">
        <v>68</v>
      </c>
      <c r="J6" s="65" t="s">
        <v>69</v>
      </c>
      <c r="K6" s="66" t="n">
        <f aca="false">IF(ISNUMBER('Skor Senario A'!D6),'Skor Senario A'!D6,"Belum sah (data HQ kurang)")</f>
        <v>860.6</v>
      </c>
      <c r="L6" s="67" t="str">
        <f aca="false">'Skor Senario A'!H6</f>
        <v>YA</v>
      </c>
    </row>
    <row r="7" customFormat="false" ht="52.5" hidden="false" customHeight="true" outlineLevel="0" collapsed="false">
      <c r="A7" s="60"/>
      <c r="B7" s="60"/>
      <c r="C7" s="62" t="s">
        <v>70</v>
      </c>
      <c r="D7" s="63" t="n">
        <f aca="false">IF(ISNUMBER('Data 9 Negeri'!D81),'Data 9 Negeri'!D81,"[DATA BELUM DIKEMUKAKAN]")</f>
        <v>85</v>
      </c>
      <c r="E7" s="63" t="n">
        <f aca="false">IF(ISNUMBER('Data 9 Negeri'!E81),'Data 9 Negeri'!E81,"[DATA BELUM DIKEMUKAKAN]")</f>
        <v>67</v>
      </c>
      <c r="F7" s="63" t="n">
        <f aca="false">IF(ISNUMBER('Data 9 Negeri'!F81),'Data 9 Negeri'!F81,"[DATA BELUM DIKEMUKAKAN]")</f>
        <v>59</v>
      </c>
      <c r="G7" s="63" t="n">
        <f aca="false">IF(ISNUMBER('Data 9 Negeri'!G81),'Data 9 Negeri'!G81,"[DATA BELUM DIKEMUKAKAN]")</f>
        <v>44</v>
      </c>
      <c r="H7" s="64"/>
      <c r="I7" s="65" t="s">
        <v>71</v>
      </c>
      <c r="J7" s="65" t="s">
        <v>72</v>
      </c>
      <c r="K7" s="66" t="n">
        <f aca="false">IF(ISNUMBER('Skor Senario A'!D7),'Skor Senario A'!D7,"Belum sah (data HQ kurang)")</f>
        <v>39.6</v>
      </c>
      <c r="L7" s="67" t="str">
        <f aca="false">'Skor Senario A'!H7</f>
        <v>YA</v>
      </c>
    </row>
    <row r="8" customFormat="false" ht="52.5" hidden="false" customHeight="true" outlineLevel="0" collapsed="false">
      <c r="A8" s="60"/>
      <c r="B8" s="60"/>
      <c r="C8" s="62" t="s">
        <v>73</v>
      </c>
      <c r="D8" s="63" t="n">
        <f aca="false">IF(ISNUMBER('Data 9 Negeri'!D82),'Data 9 Negeri'!D82,"[DATA BELUM DIKEMUKAKAN]")</f>
        <v>1291</v>
      </c>
      <c r="E8" s="63" t="n">
        <f aca="false">IF(ISNUMBER('Data 9 Negeri'!E82),'Data 9 Negeri'!E82,"[DATA BELUM DIKEMUKAKAN]")</f>
        <v>1349</v>
      </c>
      <c r="F8" s="63" t="n">
        <f aca="false">IF(ISNUMBER('Data 9 Negeri'!F82),'Data 9 Negeri'!F82,"[DATA BELUM DIKEMUKAKAN]")</f>
        <v>1043</v>
      </c>
      <c r="G8" s="63" t="n">
        <f aca="false">IF(ISNUMBER('Data 9 Negeri'!G82),'Data 9 Negeri'!G82,"[DATA BELUM DIKEMUKAKAN]")</f>
        <v>757</v>
      </c>
      <c r="H8" s="64"/>
      <c r="I8" s="65" t="s">
        <v>74</v>
      </c>
      <c r="J8" s="65" t="s">
        <v>75</v>
      </c>
      <c r="K8" s="66" t="n">
        <f aca="false">IF(ISNUMBER('Skor Senario A'!D8),'Skor Senario A'!D8,"Belum sah (data HQ kurang)")</f>
        <v>819</v>
      </c>
      <c r="L8" s="67" t="str">
        <f aca="false">'Skor Senario A'!H8</f>
        <v>YA</v>
      </c>
    </row>
    <row r="9" customFormat="false" ht="52.5" hidden="false" customHeight="true" outlineLevel="0" collapsed="false">
      <c r="A9" s="60"/>
      <c r="B9" s="60"/>
      <c r="C9" s="62" t="s">
        <v>76</v>
      </c>
      <c r="D9" s="63" t="n">
        <f aca="false">IF(ISNUMBER('Data 9 Negeri'!D83),'Data 9 Negeri'!D83,"[DATA BELUM DIKEMUKAKAN]")</f>
        <v>249</v>
      </c>
      <c r="E9" s="63" t="n">
        <f aca="false">IF(ISNUMBER('Data 9 Negeri'!E83),'Data 9 Negeri'!E83,"[DATA BELUM DIKEMUKAKAN]")</f>
        <v>206</v>
      </c>
      <c r="F9" s="63" t="n">
        <f aca="false">IF(ISNUMBER('Data 9 Negeri'!F83),'Data 9 Negeri'!F83,"[DATA BELUM DIKEMUKAKAN]")</f>
        <v>179</v>
      </c>
      <c r="G9" s="63" t="n">
        <f aca="false">IF(ISNUMBER('Data 9 Negeri'!G83),'Data 9 Negeri'!G83,"[DATA BELUM DIKEMUKAKAN]")</f>
        <v>149</v>
      </c>
      <c r="H9" s="64"/>
      <c r="I9" s="65" t="s">
        <v>77</v>
      </c>
      <c r="J9" s="65" t="s">
        <v>78</v>
      </c>
      <c r="K9" s="66" t="n">
        <f aca="false">IF(ISNUMBER('Skor Senario A'!D9),'Skor Senario A'!D9,"Belum sah (data HQ kurang)")</f>
        <v>140.2</v>
      </c>
      <c r="L9" s="67" t="str">
        <f aca="false">'Skor Senario A'!H9</f>
        <v>YA</v>
      </c>
    </row>
    <row r="10" customFormat="false" ht="52.5" hidden="false" customHeight="true" outlineLevel="0" collapsed="false">
      <c r="A10" s="60"/>
      <c r="B10" s="60"/>
      <c r="C10" s="62" t="s">
        <v>79</v>
      </c>
      <c r="D10" s="63" t="n">
        <f aca="false">IF(ISNUMBER('Data 9 Negeri'!D84),'Data 9 Negeri'!D84,"[DATA BELUM DIKEMUKAKAN]")</f>
        <v>1263</v>
      </c>
      <c r="E10" s="63" t="n">
        <f aca="false">IF(ISNUMBER('Data 9 Negeri'!E84),'Data 9 Negeri'!E84,"[DATA BELUM DIKEMUKAKAN]")</f>
        <v>1465</v>
      </c>
      <c r="F10" s="63" t="n">
        <f aca="false">IF(ISNUMBER('Data 9 Negeri'!F84),'Data 9 Negeri'!F84,"[DATA BELUM DIKEMUKAKAN]")</f>
        <v>1223</v>
      </c>
      <c r="G10" s="63" t="n">
        <f aca="false">IF(ISNUMBER('Data 9 Negeri'!G84),'Data 9 Negeri'!G84,"[DATA BELUM DIKEMUKAKAN]")</f>
        <v>849</v>
      </c>
      <c r="H10" s="64"/>
      <c r="I10" s="65" t="s">
        <v>80</v>
      </c>
      <c r="J10" s="65" t="s">
        <v>81</v>
      </c>
      <c r="K10" s="66" t="n">
        <f aca="false">IF(ISNUMBER('Skor Senario A'!D10),'Skor Senario A'!D10,"Belum sah (data HQ kurang)")</f>
        <v>892.6</v>
      </c>
      <c r="L10" s="67" t="str">
        <f aca="false">'Skor Senario A'!H10</f>
        <v>YA</v>
      </c>
    </row>
    <row r="11" customFormat="false" ht="52.5" hidden="false" customHeight="true" outlineLevel="0" collapsed="false">
      <c r="A11" s="60"/>
      <c r="B11" s="60"/>
      <c r="C11" s="62" t="s">
        <v>82</v>
      </c>
      <c r="D11" s="63" t="n">
        <f aca="false">IF(ISNUMBER('Data 9 Negeri'!D85),'Data 9 Negeri'!D85,"[DATA BELUM DIKEMUKAKAN]")</f>
        <v>16243</v>
      </c>
      <c r="E11" s="63" t="n">
        <f aca="false">IF(ISNUMBER('Data 9 Negeri'!E85),'Data 9 Negeri'!E85,"[DATA BELUM DIKEMUKAKAN]")</f>
        <v>26211</v>
      </c>
      <c r="F11" s="63" t="n">
        <f aca="false">IF(ISNUMBER('Data 9 Negeri'!F85),'Data 9 Negeri'!F85,"[DATA BELUM DIKEMUKAKAN]")</f>
        <v>23984</v>
      </c>
      <c r="G11" s="63" t="n">
        <f aca="false">IF(ISNUMBER('Data 9 Negeri'!G85),'Data 9 Negeri'!G85,"[DATA BELUM DIKEMUKAKAN]")</f>
        <v>15211</v>
      </c>
      <c r="H11" s="64"/>
      <c r="I11" s="65" t="s">
        <v>83</v>
      </c>
      <c r="J11" s="65" t="s">
        <v>84</v>
      </c>
      <c r="K11" s="66" t="n">
        <f aca="false">IF(ISNUMBER('Skor Senario A'!D11),'Skor Senario A'!D11,"Belum sah (data HQ kurang)")</f>
        <v>18423.4</v>
      </c>
      <c r="L11" s="67" t="str">
        <f aca="false">'Skor Senario A'!H11</f>
        <v>YA</v>
      </c>
    </row>
    <row r="12" customFormat="false" ht="52.5" hidden="false" customHeight="true" outlineLevel="0" collapsed="false">
      <c r="A12" s="60"/>
      <c r="B12" s="60"/>
      <c r="C12" s="62" t="s">
        <v>85</v>
      </c>
      <c r="D12" s="63" t="n">
        <f aca="false">IF(ISNUMBER('Data 9 Negeri'!D86),'Data 9 Negeri'!D86,"[DATA BELUM DIKEMUKAKAN]")</f>
        <v>1209</v>
      </c>
      <c r="E12" s="63" t="n">
        <f aca="false">IF(ISNUMBER('Data 9 Negeri'!E86),'Data 9 Negeri'!E86,"[DATA BELUM DIKEMUKAKAN]")</f>
        <v>1397</v>
      </c>
      <c r="F12" s="63" t="n">
        <f aca="false">IF(ISNUMBER('Data 9 Negeri'!F86),'Data 9 Negeri'!F86,"[DATA BELUM DIKEMUKAKAN]")</f>
        <v>1104</v>
      </c>
      <c r="G12" s="63" t="n">
        <f aca="false">IF(ISNUMBER('Data 9 Negeri'!G86),'Data 9 Negeri'!G86,"[DATA BELUM DIKEMUKAKAN]")</f>
        <v>878</v>
      </c>
      <c r="H12" s="64"/>
      <c r="I12" s="65" t="s">
        <v>86</v>
      </c>
      <c r="J12" s="65" t="s">
        <v>87</v>
      </c>
      <c r="K12" s="66" t="n">
        <f aca="false">IF(ISNUMBER('Skor Senario A'!D12),'Skor Senario A'!D12,"Belum sah (data HQ kurang)")</f>
        <v>795.8</v>
      </c>
      <c r="L12" s="67" t="str">
        <f aca="false">'Skor Senario A'!H12</f>
        <v>YA</v>
      </c>
    </row>
    <row r="13" customFormat="false" ht="52.5" hidden="false" customHeight="true" outlineLevel="0" collapsed="false">
      <c r="A13" s="60"/>
      <c r="B13" s="60"/>
      <c r="C13" s="62" t="s">
        <v>88</v>
      </c>
      <c r="D13" s="63" t="n">
        <f aca="false">IF(ISNUMBER('Data 9 Negeri'!D87),'Data 9 Negeri'!D87,"[DATA BELUM DIKEMUKAKAN]")</f>
        <v>37</v>
      </c>
      <c r="E13" s="63" t="n">
        <f aca="false">IF(ISNUMBER('Data 9 Negeri'!E87),'Data 9 Negeri'!E87,"[DATA BELUM DIKEMUKAKAN]")</f>
        <v>36</v>
      </c>
      <c r="F13" s="63" t="n">
        <f aca="false">IF(ISNUMBER('Data 9 Negeri'!F87),'Data 9 Negeri'!F87,"[DATA BELUM DIKEMUKAKAN]")</f>
        <v>20</v>
      </c>
      <c r="G13" s="63" t="n">
        <f aca="false">IF(ISNUMBER('Data 9 Negeri'!G87),'Data 9 Negeri'!G87,"[DATA BELUM DIKEMUKAKAN]")</f>
        <v>21</v>
      </c>
      <c r="H13" s="64"/>
      <c r="I13" s="65" t="s">
        <v>89</v>
      </c>
      <c r="J13" s="65" t="s">
        <v>90</v>
      </c>
      <c r="K13" s="66" t="n">
        <f aca="false">IF(ISNUMBER('Skor Senario A'!D13),'Skor Senario A'!D13,"Belum sah (data HQ kurang)")</f>
        <v>17</v>
      </c>
      <c r="L13" s="67" t="str">
        <f aca="false">'Skor Senario A'!H13</f>
        <v>YA</v>
      </c>
    </row>
    <row r="14" customFormat="false" ht="52.5" hidden="false" customHeight="true" outlineLevel="0" collapsed="false">
      <c r="A14" s="68" t="n">
        <v>2</v>
      </c>
      <c r="B14" s="69" t="s">
        <v>91</v>
      </c>
      <c r="C14" s="70" t="s">
        <v>92</v>
      </c>
      <c r="D14" s="63" t="n">
        <f aca="false">IF(ISNUMBER('Data 9 Negeri'!D88),'Data 9 Negeri'!D88,"[DATA BELUM DIKEMUKAKAN]")</f>
        <v>158</v>
      </c>
      <c r="E14" s="63" t="n">
        <f aca="false">IF(ISNUMBER('Data 9 Negeri'!E88),'Data 9 Negeri'!E88,"[DATA BELUM DIKEMUKAKAN]")</f>
        <v>230</v>
      </c>
      <c r="F14" s="63" t="n">
        <f aca="false">IF(ISNUMBER('Data 9 Negeri'!F88),'Data 9 Negeri'!F88,"[DATA BELUM DIKEMUKAKAN]")</f>
        <v>201</v>
      </c>
      <c r="G14" s="63" t="n">
        <f aca="false">IF(ISNUMBER('Data 9 Negeri'!G88),'Data 9 Negeri'!G88,"[DATA BELUM DIKEMUKAKAN]")</f>
        <v>190</v>
      </c>
      <c r="H14" s="71" t="n">
        <f aca="false">W_KEM</f>
        <v>0.15</v>
      </c>
      <c r="I14" s="65" t="s">
        <v>93</v>
      </c>
      <c r="J14" s="65" t="s">
        <v>94</v>
      </c>
      <c r="K14" s="66" t="n">
        <f aca="false">IF(ISNUMBER('Skor Senario A'!D14),'Skor Senario A'!D14,"Belum sah (data HQ kurang)")</f>
        <v>108</v>
      </c>
      <c r="L14" s="67" t="str">
        <f aca="false">'Skor Senario A'!H14</f>
        <v>YA</v>
      </c>
    </row>
    <row r="15" customFormat="false" ht="52.5" hidden="false" customHeight="true" outlineLevel="0" collapsed="false">
      <c r="A15" s="68"/>
      <c r="B15" s="68"/>
      <c r="C15" s="70" t="s">
        <v>95</v>
      </c>
      <c r="D15" s="63" t="n">
        <f aca="false">IF(ISNUMBER('Data 9 Negeri'!D89),'Data 9 Negeri'!D89,"[DATA BELUM DIKEMUKAKAN]")</f>
        <v>125</v>
      </c>
      <c r="E15" s="63" t="n">
        <f aca="false">IF(ISNUMBER('Data 9 Negeri'!E89),'Data 9 Negeri'!E89,"[DATA BELUM DIKEMUKAKAN]")</f>
        <v>230</v>
      </c>
      <c r="F15" s="63" t="n">
        <f aca="false">IF(ISNUMBER('Data 9 Negeri'!F89),'Data 9 Negeri'!F89,"[DATA BELUM DIKEMUKAKAN]")</f>
        <v>278</v>
      </c>
      <c r="G15" s="63" t="n">
        <f aca="false">IF(ISNUMBER('Data 9 Negeri'!G89),'Data 9 Negeri'!G89,"[DATA BELUM DIKEMUKAKAN]")</f>
        <v>159</v>
      </c>
      <c r="H15" s="71"/>
      <c r="I15" s="65" t="s">
        <v>96</v>
      </c>
      <c r="J15" s="65" t="s">
        <v>97</v>
      </c>
      <c r="K15" s="66" t="n">
        <f aca="false">IF(ISNUMBER('Skor Senario A'!D15),'Skor Senario A'!D15,"Belum sah (data HQ kurang)")</f>
        <v>112.4</v>
      </c>
      <c r="L15" s="67" t="str">
        <f aca="false">'Skor Senario A'!H15</f>
        <v>YA</v>
      </c>
    </row>
    <row r="16" customFormat="false" ht="52.5" hidden="false" customHeight="true" outlineLevel="0" collapsed="false">
      <c r="A16" s="68"/>
      <c r="B16" s="68"/>
      <c r="C16" s="70" t="s">
        <v>98</v>
      </c>
      <c r="D16" s="63" t="n">
        <f aca="false">IF(ISNUMBER('Data 9 Negeri'!D90),'Data 9 Negeri'!D90,"[DATA BELUM DIKEMUKAKAN]")</f>
        <v>68</v>
      </c>
      <c r="E16" s="63" t="n">
        <f aca="false">IF(ISNUMBER('Data 9 Negeri'!E90),'Data 9 Negeri'!E90,"[DATA BELUM DIKEMUKAKAN]")</f>
        <v>112</v>
      </c>
      <c r="F16" s="63" t="n">
        <f aca="false">IF(ISNUMBER('Data 9 Negeri'!F90),'Data 9 Negeri'!F90,"[DATA BELUM DIKEMUKAKAN]")</f>
        <v>88</v>
      </c>
      <c r="G16" s="63" t="n">
        <f aca="false">IF(ISNUMBER('Data 9 Negeri'!G90),'Data 9 Negeri'!G90,"[DATA BELUM DIKEMUKAKAN]")</f>
        <v>92</v>
      </c>
      <c r="H16" s="71"/>
      <c r="I16" s="65" t="s">
        <v>99</v>
      </c>
      <c r="J16" s="65" t="s">
        <v>100</v>
      </c>
      <c r="K16" s="66" t="n">
        <f aca="false">IF(ISNUMBER('Skor Senario A'!D16),'Skor Senario A'!D16,"Belum sah (data HQ kurang)")</f>
        <v>60.2</v>
      </c>
      <c r="L16" s="67" t="str">
        <f aca="false">'Skor Senario A'!H16</f>
        <v>YA</v>
      </c>
    </row>
    <row r="17" customFormat="false" ht="52.5" hidden="false" customHeight="true" outlineLevel="0" collapsed="false">
      <c r="A17" s="68"/>
      <c r="B17" s="68"/>
      <c r="C17" s="70" t="s">
        <v>101</v>
      </c>
      <c r="D17" s="63" t="n">
        <f aca="false">IF(ISNUMBER('Data 9 Negeri'!D91),'Data 9 Negeri'!D91,"[DATA BELUM DIKEMUKAKAN]")</f>
        <v>2496</v>
      </c>
      <c r="E17" s="63" t="n">
        <f aca="false">IF(ISNUMBER('Data 9 Negeri'!E91),'Data 9 Negeri'!E91,"[DATA BELUM DIKEMUKAKAN]")</f>
        <v>4081</v>
      </c>
      <c r="F17" s="63" t="n">
        <f aca="false">IF(ISNUMBER('Data 9 Negeri'!F91),'Data 9 Negeri'!F91,"[DATA BELUM DIKEMUKAKAN]")</f>
        <v>2842</v>
      </c>
      <c r="G17" s="63" t="n">
        <f aca="false">IF(ISNUMBER('Data 9 Negeri'!G91),'Data 9 Negeri'!G91,"[DATA BELUM DIKEMUKAKAN]")</f>
        <v>3261</v>
      </c>
      <c r="H17" s="71"/>
      <c r="I17" s="65" t="s">
        <v>102</v>
      </c>
      <c r="J17" s="65" t="s">
        <v>103</v>
      </c>
      <c r="K17" s="66" t="n">
        <f aca="false">IF(ISNUMBER('Skor Senario A'!D17),'Skor Senario A'!D17,"Belum sah (data HQ kurang)")</f>
        <v>1467.4</v>
      </c>
      <c r="L17" s="67" t="str">
        <f aca="false">'Skor Senario A'!H17</f>
        <v>YA</v>
      </c>
    </row>
    <row r="18" customFormat="false" ht="52.5" hidden="false" customHeight="true" outlineLevel="0" collapsed="false">
      <c r="A18" s="72" t="n">
        <v>3</v>
      </c>
      <c r="B18" s="73" t="s">
        <v>104</v>
      </c>
      <c r="C18" s="74" t="s">
        <v>105</v>
      </c>
      <c r="D18" s="63" t="n">
        <f aca="false">IF(ISNUMBER('Data 9 Negeri'!D92),'Data 9 Negeri'!D92,"[DATA BELUM DIKEMUKAKAN]")</f>
        <v>6906</v>
      </c>
      <c r="E18" s="63" t="str">
        <f aca="false">IF(ISNUMBER('Data 9 Negeri'!E92),IF('Data 9 Negeri'!$E$110="Lengkap",'Data 9 Negeri'!E92,"≥"&amp;TEXT('Data 9 Negeri'!E92,"#,##0")),"[DATA BELUM DIKEMUKAKAN]")</f>
        <v>≥2,558</v>
      </c>
      <c r="F18" s="63" t="n">
        <f aca="false">IF(ISNUMBER('Data 9 Negeri'!F92),'Data 9 Negeri'!F92,"[DATA BELUM DIKEMUKAKAN]")</f>
        <v>631</v>
      </c>
      <c r="G18" s="63" t="n">
        <f aca="false">IF(ISNUMBER('Data 9 Negeri'!G92),'Data 9 Negeri'!G92,"[DATA BELUM DIKEMUKAKAN]")</f>
        <v>1079</v>
      </c>
      <c r="H18" s="75" t="n">
        <f aca="false">W_KOM</f>
        <v>0.15</v>
      </c>
      <c r="I18" s="65" t="s">
        <v>106</v>
      </c>
      <c r="J18" s="65" t="str">
        <f aca="false">"L1 Profil Negeri (jumlah kampung / rumah panjang semua DUN). Sabah: "&amp;IF('Data 9 Negeri'!$E$110="Lengkap","lengkap.","had bawah; Papar, Tenom, Sandakan, Lahad Datu dan kampung Semporna belum diisi (Borang bahagian B).")</f>
        <v>L1 Profil Negeri (jumlah kampung / rumah panjang semua DUN). Sabah: had bawah; Papar, Tenom, Sandakan, Lahad Datu dan kampung Semporna belum diisi (Borang bahagian B).</v>
      </c>
      <c r="K18" s="66" t="n">
        <f aca="false">IF(ISNUMBER('Skor Senario A'!D18),'Skor Senario A'!D18,"Belum sah (data HQ kurang)")</f>
        <v>1032.8</v>
      </c>
      <c r="L18" s="67" t="str">
        <f aca="false">'Skor Senario A'!H18</f>
        <v>YA</v>
      </c>
    </row>
    <row r="19" customFormat="false" ht="52.5" hidden="false" customHeight="true" outlineLevel="0" collapsed="false">
      <c r="A19" s="72"/>
      <c r="B19" s="72"/>
      <c r="C19" s="74" t="s">
        <v>107</v>
      </c>
      <c r="D19" s="63" t="n">
        <f aca="false">IF(ISNUMBER('Data 9 Negeri'!D93),'Data 9 Negeri'!D93,"[DATA BELUM DIKEMUKAKAN]")</f>
        <v>2509500</v>
      </c>
      <c r="E19" s="63" t="n">
        <f aca="false">IF(ISNUMBER('Data 9 Negeri'!E93),IF(AND(P_SUMBER&lt;&gt;"Nasional",'Data 9 Negeri'!$E$111&lt;&gt;"Lengkap"),"≥"&amp;TEXT('Data 9 Negeri'!E93,"#,##0"),'Data 9 Negeri'!E93),"[DATA BELUM DIKEMUKAKAN]")</f>
        <v>3592800</v>
      </c>
      <c r="F19" s="63" t="n">
        <f aca="false">IF(ISNUMBER('Data 9 Negeri'!F93),'Data 9 Negeri'!F93,"[DATA BELUM DIKEMUKAKAN]")</f>
        <v>4100900</v>
      </c>
      <c r="G19" s="63" t="n">
        <f aca="false">IF(ISNUMBER('Data 9 Negeri'!G93),'Data 9 Negeri'!G93,"[DATA BELUM DIKEMUKAKAN]")</f>
        <v>2540400</v>
      </c>
      <c r="H19" s="75"/>
      <c r="I19" s="65" t="s">
        <v>108</v>
      </c>
      <c r="J19" s="65" t="str">
        <f aca="false">IF(P_SUMBER="Nasional","DOSM: anggaran penduduk semasa 2023, sumber yang sama untuk 9 negeri (suis Nasional).","L1 Profil Negeri: anggaran penduduk semua DUN (suis Data HQ). Sabah had bawah sehingga Borang bahagian B diisi.")</f>
        <v>DOSM: anggaran penduduk semasa 2023, sumber yang sama untuk 9 negeri (suis Nasional).</v>
      </c>
      <c r="K19" s="66" t="n">
        <f aca="false">IF(ISNUMBER('Skor Senario A'!D19),'Skor Senario A'!D19,"Belum sah (data HQ kurang)")</f>
        <v>2820500</v>
      </c>
      <c r="L19" s="67" t="str">
        <f aca="false">'Skor Senario A'!H19</f>
        <v>YA</v>
      </c>
    </row>
    <row r="20" customFormat="false" ht="52.5" hidden="false" customHeight="true" outlineLevel="0" collapsed="false">
      <c r="A20" s="72"/>
      <c r="B20" s="72"/>
      <c r="C20" s="74" t="s">
        <v>109</v>
      </c>
      <c r="D20" s="63" t="n">
        <f aca="false">IF(ISNUMBER('Data 9 Negeri'!D94),'Data 9 Negeri'!D94,"[DATA BELUM DIKEMUKAKAN]")</f>
        <v>382</v>
      </c>
      <c r="E20" s="63" t="n">
        <f aca="false">IF(ISNUMBER('Data 9 Negeri'!E94),'Data 9 Negeri'!E94,"[DATA BELUM DIKEMUKAKAN]")</f>
        <v>219</v>
      </c>
      <c r="F20" s="63" t="n">
        <f aca="false">IF(ISNUMBER('Data 9 Negeri'!F94),'Data 9 Negeri'!F94,"[DATA BELUM DIKEMUKAKAN]")</f>
        <v>217</v>
      </c>
      <c r="G20" s="63" t="n">
        <f aca="false">IF(ISNUMBER('Data 9 Negeri'!G94),'Data 9 Negeri'!G94,"[DATA BELUM DIKEMUKAKAN]")</f>
        <v>175</v>
      </c>
      <c r="H20" s="75"/>
      <c r="I20" s="65" t="s">
        <v>110</v>
      </c>
      <c r="J20" s="65" t="s">
        <v>111</v>
      </c>
      <c r="K20" s="66" t="n">
        <f aca="false">IF(ISNUMBER('Skor Senario A'!D20),'Skor Senario A'!D20,"Belum sah (data HQ kurang)")</f>
        <v>93</v>
      </c>
      <c r="L20" s="67" t="str">
        <f aca="false">'Skor Senario A'!H20</f>
        <v>YA</v>
      </c>
    </row>
    <row r="21" customFormat="false" ht="52.5" hidden="false" customHeight="true" outlineLevel="0" collapsed="false">
      <c r="A21" s="72"/>
      <c r="B21" s="72"/>
      <c r="C21" s="74" t="s">
        <v>101</v>
      </c>
      <c r="D21" s="63" t="n">
        <f aca="false">IF(ISNUMBER('Data 9 Negeri'!D95),'Data 9 Negeri'!D95,"[DATA BELUM DIKEMUKAKAN]")</f>
        <v>20010</v>
      </c>
      <c r="E21" s="63" t="n">
        <f aca="false">IF(ISNUMBER('Data 9 Negeri'!E95),'Data 9 Negeri'!E95,"[DATA BELUM DIKEMUKAKAN]")</f>
        <v>4313</v>
      </c>
      <c r="F21" s="63" t="n">
        <f aca="false">IF(ISNUMBER('Data 9 Negeri'!F95),'Data 9 Negeri'!F95,"[DATA BELUM DIKEMUKAKAN]")</f>
        <v>2546</v>
      </c>
      <c r="G21" s="63" t="n">
        <f aca="false">IF(ISNUMBER('Data 9 Negeri'!G95),'Data 9 Negeri'!G95,"[DATA BELUM DIKEMUKAKAN]")</f>
        <v>8500</v>
      </c>
      <c r="H21" s="75"/>
      <c r="I21" s="65" t="s">
        <v>112</v>
      </c>
      <c r="J21" s="65" t="s">
        <v>113</v>
      </c>
      <c r="K21" s="66" t="str">
        <f aca="false">IF(ISNUMBER('Skor Senario A'!D21),'Skor Senario A'!D21,"Belum sah (data HQ kurang)")</f>
        <v>Belum sah (data HQ kurang)</v>
      </c>
      <c r="L21" s="67" t="str">
        <f aca="false">'Skor Senario A'!H21</f>
        <v>TIDAK</v>
      </c>
    </row>
    <row r="22" customFormat="false" ht="52.5" hidden="false" customHeight="true" outlineLevel="0" collapsed="false">
      <c r="A22" s="76" t="n">
        <v>4</v>
      </c>
      <c r="B22" s="77" t="s">
        <v>114</v>
      </c>
      <c r="C22" s="78" t="s">
        <v>115</v>
      </c>
      <c r="D22" s="63" t="n">
        <f aca="false">IF(ISNUMBER('Data 9 Negeri'!D96),'Data 9 Negeri'!D96,"[DATA BELUM DIKEMUKAKAN]")</f>
        <v>28630</v>
      </c>
      <c r="E22" s="63" t="n">
        <f aca="false">IF(ISNUMBER('Data 9 Negeri'!E96),'Data 9 Negeri'!E96,"[DATA BELUM DIKEMUKAKAN]")</f>
        <v>36669</v>
      </c>
      <c r="F22" s="63" t="str">
        <f aca="false">IF(ISNUMBER('Data 9 Negeri'!F96),'Data 9 Negeri'!F96,"[DATA BELUM DIKEMUKAKAN]")</f>
        <v>[DATA BELUM DIKEMUKAKAN]</v>
      </c>
      <c r="G22" s="63" t="n">
        <f aca="false">IF(ISNUMBER('Data 9 Negeri'!G96),'Data 9 Negeri'!G96,"[DATA BELUM DIKEMUKAKAN]")</f>
        <v>30408</v>
      </c>
      <c r="H22" s="79" t="n">
        <f aca="false">W_PENG</f>
        <v>0.5</v>
      </c>
      <c r="I22" s="65" t="s">
        <v>116</v>
      </c>
      <c r="J22" s="65" t="s">
        <v>117</v>
      </c>
      <c r="K22" s="66" t="str">
        <f aca="false">IF(ISNUMBER('Skor Senario A'!D22),'Skor Senario A'!D22,"Belum sah (data HQ kurang)")</f>
        <v>Belum sah (data HQ kurang)</v>
      </c>
      <c r="L22" s="67" t="str">
        <f aca="false">'Skor Senario A'!H22</f>
        <v>TIDAK</v>
      </c>
    </row>
    <row r="23" customFormat="false" ht="52.5" hidden="false" customHeight="true" outlineLevel="0" collapsed="false">
      <c r="A23" s="76"/>
      <c r="B23" s="76"/>
      <c r="C23" s="78" t="s">
        <v>118</v>
      </c>
      <c r="D23" s="63" t="str">
        <f aca="false">IF(ISNUMBER('Data 9 Negeri'!D97),'Data 9 Negeri'!D97,"[DATA BELUM DIKEMUKAKAN]")</f>
        <v>[DATA BELUM DIKEMUKAKAN]</v>
      </c>
      <c r="E23" s="63" t="n">
        <f aca="false">IF(ISNUMBER('Data 9 Negeri'!E97),'Data 9 Negeri'!E97,"[DATA BELUM DIKEMUKAKAN]")</f>
        <v>1022</v>
      </c>
      <c r="F23" s="63" t="n">
        <f aca="false">IF(ISNUMBER('Data 9 Negeri'!F97),'Data 9 Negeri'!F97,"[DATA BELUM DIKEMUKAKAN]")</f>
        <v>893</v>
      </c>
      <c r="G23" s="63" t="n">
        <f aca="false">IF(ISNUMBER('Data 9 Negeri'!G97),'Data 9 Negeri'!G97,"[DATA BELUM DIKEMUKAKAN]")</f>
        <v>367</v>
      </c>
      <c r="H23" s="79"/>
      <c r="I23" s="65" t="s">
        <v>119</v>
      </c>
      <c r="J23" s="65" t="s">
        <v>120</v>
      </c>
      <c r="K23" s="66" t="str">
        <f aca="false">IF(ISNUMBER('Skor Senario A'!D23),'Skor Senario A'!D23,"Belum sah (data HQ kurang)")</f>
        <v>Belum sah (data HQ kurang)</v>
      </c>
      <c r="L23" s="67" t="str">
        <f aca="false">'Skor Senario A'!H23</f>
        <v>TIDAK</v>
      </c>
    </row>
    <row r="24" customFormat="false" ht="52.5" hidden="false" customHeight="true" outlineLevel="0" collapsed="false">
      <c r="A24" s="76"/>
      <c r="B24" s="76"/>
      <c r="C24" s="78" t="s">
        <v>121</v>
      </c>
      <c r="D24" s="63" t="n">
        <f aca="false">IF(ISNUMBER('Data 9 Negeri'!D98),'Data 9 Negeri'!D98,"[DATA BELUM DIKEMUKAKAN]")</f>
        <v>6896060.15</v>
      </c>
      <c r="E24" s="63" t="n">
        <f aca="false">IF(ISNUMBER('Data 9 Negeri'!E98),'Data 9 Negeri'!E98,"[DATA BELUM DIKEMUKAKAN]")</f>
        <v>76816481.61</v>
      </c>
      <c r="F24" s="63" t="n">
        <f aca="false">IF(ISNUMBER('Data 9 Negeri'!F98),'Data 9 Negeri'!F98,"[DATA BELUM DIKEMUKAKAN]")</f>
        <v>101223814</v>
      </c>
      <c r="G24" s="63" t="n">
        <f aca="false">IF(ISNUMBER('Data 9 Negeri'!G98),'Data 9 Negeri'!G98,"[DATA BELUM DIKEMUKAKAN]")</f>
        <v>87049719</v>
      </c>
      <c r="H24" s="79"/>
      <c r="I24" s="65" t="s">
        <v>122</v>
      </c>
      <c r="J24" s="65" t="s">
        <v>123</v>
      </c>
      <c r="K24" s="66" t="str">
        <f aca="false">IF(ISNUMBER('Skor Senario A'!D24),'Skor Senario A'!D24,"Belum sah (data HQ kurang)")</f>
        <v>Belum sah (data HQ kurang)</v>
      </c>
      <c r="L24" s="67" t="str">
        <f aca="false">'Skor Senario A'!H24</f>
        <v>TIDAK</v>
      </c>
    </row>
    <row r="25" customFormat="false" ht="52.5" hidden="false" customHeight="true" outlineLevel="0" collapsed="false">
      <c r="A25" s="76"/>
      <c r="B25" s="76"/>
      <c r="C25" s="78" t="s">
        <v>124</v>
      </c>
      <c r="D25" s="63" t="n">
        <f aca="false">IF(ISNUMBER('Data 9 Negeri'!D99),'Data 9 Negeri'!D99,"[DATA BELUM DIKEMUKAKAN]")</f>
        <v>8351734.15</v>
      </c>
      <c r="E25" s="63" t="n">
        <f aca="false">IF(ISNUMBER('Data 9 Negeri'!E99),'Data 9 Negeri'!E99,"[DATA BELUM DIKEMUKAKAN]")</f>
        <v>7031639</v>
      </c>
      <c r="F25" s="63" t="n">
        <f aca="false">IF(ISNUMBER('Data 9 Negeri'!F99),'Data 9 Negeri'!F99,"[DATA BELUM DIKEMUKAKAN]")</f>
        <v>3911500</v>
      </c>
      <c r="G25" s="63" t="n">
        <f aca="false">IF(ISNUMBER('Data 9 Negeri'!G99),'Data 9 Negeri'!G99,"[DATA BELUM DIKEMUKAKAN]")</f>
        <v>3038000</v>
      </c>
      <c r="H25" s="79"/>
      <c r="I25" s="65" t="s">
        <v>125</v>
      </c>
      <c r="J25" s="65" t="s">
        <v>126</v>
      </c>
      <c r="K25" s="66" t="str">
        <f aca="false">IF(ISNUMBER('Skor Senario A'!D25),'Skor Senario A'!D25,"Belum sah (data HQ kurang)")</f>
        <v>Belum sah (data HQ kurang)</v>
      </c>
      <c r="L25" s="67" t="str">
        <f aca="false">'Skor Senario A'!H25</f>
        <v>TIDAK</v>
      </c>
    </row>
    <row r="26" customFormat="false" ht="52.5" hidden="false" customHeight="true" outlineLevel="0" collapsed="false">
      <c r="A26" s="76"/>
      <c r="B26" s="76"/>
      <c r="C26" s="78" t="s">
        <v>127</v>
      </c>
      <c r="D26" s="63" t="n">
        <f aca="false">IF(ISNUMBER('Data 9 Negeri'!D100),'Data 9 Negeri'!D100,"[DATA BELUM DIKEMUKAKAN]")</f>
        <v>15000</v>
      </c>
      <c r="E26" s="63" t="n">
        <f aca="false">IF(ISNUMBER('Data 9 Negeri'!E100),'Data 9 Negeri'!E100,"[DATA BELUM DIKEMUKAKAN]")</f>
        <v>3997</v>
      </c>
      <c r="F26" s="63" t="n">
        <f aca="false">IF(ISNUMBER('Data 9 Negeri'!F100),'Data 9 Negeri'!F100,"[DATA BELUM DIKEMUKAKAN]")</f>
        <v>4825</v>
      </c>
      <c r="G26" s="63" t="n">
        <f aca="false">IF(ISNUMBER('Data 9 Negeri'!G100),'Data 9 Negeri'!G100,"[DATA BELUM DIKEMUKAKAN]")</f>
        <v>7500</v>
      </c>
      <c r="H26" s="79"/>
      <c r="I26" s="65" t="s">
        <v>128</v>
      </c>
      <c r="J26" s="65" t="s">
        <v>129</v>
      </c>
      <c r="K26" s="66" t="str">
        <f aca="false">IF(ISNUMBER('Skor Senario A'!D26),'Skor Senario A'!D26,"Belum sah (data HQ kurang)")</f>
        <v>Belum sah (data HQ kurang)</v>
      </c>
      <c r="L26" s="67" t="str">
        <f aca="false">'Skor Senario A'!H26</f>
        <v>TIDAK</v>
      </c>
    </row>
    <row r="27" customFormat="false" ht="52.5" hidden="false" customHeight="true" outlineLevel="0" collapsed="false">
      <c r="A27" s="76"/>
      <c r="B27" s="76"/>
      <c r="C27" s="78" t="s">
        <v>130</v>
      </c>
      <c r="D27" s="63" t="n">
        <f aca="false">IF(ISNUMBER('Data 9 Negeri'!D101),'Data 9 Negeri'!D101,"[DATA BELUM DIKEMUKAKAN]")</f>
        <v>507</v>
      </c>
      <c r="E27" s="63" t="n">
        <f aca="false">IF(ISNUMBER('Data 9 Negeri'!E101),'Data 9 Negeri'!E101,"[DATA BELUM DIKEMUKAKAN]")</f>
        <v>204</v>
      </c>
      <c r="F27" s="63" t="n">
        <f aca="false">IF(ISNUMBER('Data 9 Negeri'!F101),'Data 9 Negeri'!F101,"[DATA BELUM DIKEMUKAKAN]")</f>
        <v>46</v>
      </c>
      <c r="G27" s="63" t="n">
        <f aca="false">IF(ISNUMBER('Data 9 Negeri'!G101),'Data 9 Negeri'!G101,"[DATA BELUM DIKEMUKAKAN]")</f>
        <v>450</v>
      </c>
      <c r="H27" s="79"/>
      <c r="I27" s="65" t="s">
        <v>131</v>
      </c>
      <c r="J27" s="65" t="s">
        <v>132</v>
      </c>
      <c r="K27" s="66" t="n">
        <f aca="false">IF(ISNUMBER('Skor Senario A'!D27),'Skor Senario A'!D27,"Belum sah (data HQ kurang)")</f>
        <v>200.4</v>
      </c>
      <c r="L27" s="67" t="str">
        <f aca="false">'Skor Senario A'!H27</f>
        <v>YA</v>
      </c>
    </row>
    <row r="28" customFormat="false" ht="52.5" hidden="false" customHeight="true" outlineLevel="0" collapsed="false">
      <c r="A28" s="76"/>
      <c r="B28" s="76"/>
      <c r="C28" s="78" t="s">
        <v>133</v>
      </c>
      <c r="D28" s="63" t="n">
        <f aca="false">IF(ISNUMBER('Data 9 Negeri'!D102),'Data 9 Negeri'!D102,"[DATA BELUM DIKEMUKAKAN]")</f>
        <v>2032</v>
      </c>
      <c r="E28" s="63" t="str">
        <f aca="false">IF(ISNUMBER('Data 9 Negeri'!E102),IF(ISNUMBER('Borang Negeri'!H28),'Data 9 Negeri'!E102,TEXT('Data 9 Negeri'!E102,"#,##0")&amp;"*"),"[DATA BELUM DIKEMUKAKAN]")</f>
        <v>2,146*</v>
      </c>
      <c r="F28" s="63" t="str">
        <f aca="false">IF(ISNUMBER('Data 9 Negeri'!F102),IF(ISNUMBER('Borang Negeri'!I28),'Data 9 Negeri'!F102,TEXT('Data 9 Negeri'!F102,"#,##0")&amp;"*"),"[DATA BELUM DIKEMUKAKAN]")</f>
        <v>1,508*</v>
      </c>
      <c r="G28" s="63" t="n">
        <f aca="false">IF(ISNUMBER('Data 9 Negeri'!G102),'Data 9 Negeri'!G102,"[DATA BELUM DIKEMUKAKAN]")</f>
        <v>1223</v>
      </c>
      <c r="H28" s="79"/>
      <c r="I28" s="65" t="s">
        <v>134</v>
      </c>
      <c r="J28" s="65" t="s">
        <v>135</v>
      </c>
      <c r="K28" s="66" t="n">
        <f aca="false">IF(ISNUMBER('Skor Senario A'!D28),'Skor Senario A'!D28,"Belum sah (data HQ kurang)")</f>
        <v>1179.4</v>
      </c>
      <c r="L28" s="67" t="str">
        <f aca="false">'Skor Senario A'!H28</f>
        <v>YA</v>
      </c>
    </row>
    <row r="29" customFormat="false" ht="18" hidden="false" customHeight="true" outlineLevel="0" collapsed="false">
      <c r="A29" s="80" t="s">
        <v>136</v>
      </c>
      <c r="B29" s="80"/>
      <c r="C29" s="80"/>
      <c r="D29" s="81"/>
      <c r="E29" s="81"/>
      <c r="F29" s="81"/>
      <c r="G29" s="81"/>
      <c r="H29" s="82" t="n">
        <f aca="false">SUM(H6:H28)</f>
        <v>1</v>
      </c>
      <c r="I29" s="81"/>
      <c r="J29" s="81"/>
      <c r="K29" s="81"/>
      <c r="L29" s="81"/>
    </row>
    <row r="31" customFormat="false" ht="19.5" hidden="false" customHeight="true" outlineLevel="0" collapsed="false">
      <c r="A31" s="4" t="s">
        <v>137</v>
      </c>
      <c r="B31" s="4"/>
      <c r="C31" s="4"/>
      <c r="D31" s="4"/>
      <c r="E31" s="4"/>
      <c r="F31" s="4"/>
      <c r="G31" s="4"/>
      <c r="H31" s="4"/>
      <c r="I31" s="4"/>
      <c r="J31" s="4"/>
      <c r="K31" s="4"/>
      <c r="L31" s="4"/>
    </row>
    <row r="32" customFormat="false" ht="17.25" hidden="false" customHeight="true" outlineLevel="0" collapsed="false">
      <c r="A32" s="83" t="s">
        <v>58</v>
      </c>
      <c r="B32" s="84" t="s">
        <v>138</v>
      </c>
      <c r="C32" s="84"/>
      <c r="D32" s="84" t="s">
        <v>139</v>
      </c>
      <c r="E32" s="84"/>
      <c r="F32" s="84"/>
      <c r="G32" s="84"/>
      <c r="H32" s="84"/>
      <c r="I32" s="84"/>
      <c r="J32" s="84"/>
      <c r="K32" s="84"/>
      <c r="L32" s="84"/>
    </row>
    <row r="33" customFormat="false" ht="18" hidden="false" customHeight="true" outlineLevel="0" collapsed="false">
      <c r="A33" s="85" t="n">
        <v>1</v>
      </c>
      <c r="B33" s="86" t="s">
        <v>140</v>
      </c>
      <c r="C33" s="86"/>
      <c r="D33" s="48" t="s">
        <v>141</v>
      </c>
      <c r="E33" s="48"/>
      <c r="F33" s="48"/>
      <c r="G33" s="48"/>
      <c r="H33" s="48"/>
      <c r="I33" s="48"/>
      <c r="J33" s="48"/>
      <c r="K33" s="48"/>
      <c r="L33" s="48"/>
    </row>
    <row r="34" customFormat="false" ht="18" hidden="false" customHeight="true" outlineLevel="0" collapsed="false">
      <c r="A34" s="87" t="n">
        <v>2</v>
      </c>
      <c r="B34" s="88" t="s">
        <v>142</v>
      </c>
      <c r="C34" s="88"/>
      <c r="D34" s="52" t="s">
        <v>143</v>
      </c>
      <c r="E34" s="52"/>
      <c r="F34" s="52"/>
      <c r="G34" s="52"/>
      <c r="H34" s="52"/>
      <c r="I34" s="52"/>
      <c r="J34" s="52"/>
      <c r="K34" s="52"/>
      <c r="L34" s="52"/>
    </row>
    <row r="35" customFormat="false" ht="18" hidden="false" customHeight="true" outlineLevel="0" collapsed="false">
      <c r="A35" s="89" t="n">
        <v>3</v>
      </c>
      <c r="B35" s="88" t="s">
        <v>144</v>
      </c>
      <c r="C35" s="88"/>
      <c r="D35" s="54" t="s">
        <v>145</v>
      </c>
      <c r="E35" s="54"/>
      <c r="F35" s="54"/>
      <c r="G35" s="54"/>
      <c r="H35" s="54"/>
      <c r="I35" s="54"/>
      <c r="J35" s="54"/>
      <c r="K35" s="54"/>
      <c r="L35" s="54"/>
    </row>
    <row r="36" customFormat="false" ht="18" hidden="false" customHeight="true" outlineLevel="0" collapsed="false">
      <c r="A36" s="90" t="n">
        <v>4</v>
      </c>
      <c r="B36" s="91" t="s">
        <v>146</v>
      </c>
      <c r="C36" s="91"/>
      <c r="D36" s="92" t="s">
        <v>147</v>
      </c>
      <c r="E36" s="92"/>
      <c r="F36" s="92"/>
      <c r="G36" s="92"/>
      <c r="H36" s="92"/>
      <c r="I36" s="92"/>
      <c r="J36" s="92"/>
      <c r="K36" s="92"/>
      <c r="L36" s="92"/>
    </row>
    <row r="37" customFormat="false" ht="18" hidden="false" customHeight="true" outlineLevel="0" collapsed="false">
      <c r="A37" s="93" t="n">
        <v>5</v>
      </c>
      <c r="B37" s="94" t="s">
        <v>148</v>
      </c>
      <c r="C37" s="94"/>
      <c r="D37" s="50" t="s">
        <v>149</v>
      </c>
      <c r="E37" s="50"/>
      <c r="F37" s="50"/>
      <c r="G37" s="50"/>
      <c r="H37" s="50"/>
      <c r="I37" s="50"/>
      <c r="J37" s="50"/>
      <c r="K37" s="50"/>
      <c r="L37" s="50"/>
    </row>
    <row r="38" customFormat="false" ht="18" hidden="false" customHeight="true" outlineLevel="0" collapsed="false">
      <c r="A38" s="95" t="n">
        <v>6</v>
      </c>
      <c r="B38" s="95" t="s">
        <v>150</v>
      </c>
      <c r="C38" s="95"/>
      <c r="D38" s="44" t="s">
        <v>151</v>
      </c>
      <c r="E38" s="44"/>
      <c r="F38" s="44"/>
      <c r="G38" s="44"/>
      <c r="H38" s="44"/>
      <c r="I38" s="44"/>
      <c r="J38" s="44"/>
      <c r="K38" s="44"/>
      <c r="L38" s="44"/>
    </row>
  </sheetData>
  <mergeCells count="31">
    <mergeCell ref="A1:L1"/>
    <mergeCell ref="A2:L2"/>
    <mergeCell ref="D4:G4"/>
    <mergeCell ref="A6:A13"/>
    <mergeCell ref="B6:B13"/>
    <mergeCell ref="H6:H13"/>
    <mergeCell ref="A14:A17"/>
    <mergeCell ref="B14:B17"/>
    <mergeCell ref="H14:H17"/>
    <mergeCell ref="A18:A21"/>
    <mergeCell ref="B18:B21"/>
    <mergeCell ref="H18:H21"/>
    <mergeCell ref="A22:A28"/>
    <mergeCell ref="B22:B28"/>
    <mergeCell ref="H22:H28"/>
    <mergeCell ref="A29:C29"/>
    <mergeCell ref="A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s>
  <conditionalFormatting sqref="D6:G28">
    <cfRule type="expression" priority="2" aboveAverage="0" equalAverage="0" bottom="0" percent="0" rank="0" text="" dxfId="0">
      <formula>ISNUMBER(SEARCH("[DATA",D6))</formula>
    </cfRule>
  </conditionalFormatting>
  <conditionalFormatting sqref="L6:L28">
    <cfRule type="cellIs" priority="3" operator="equal" aboveAverage="0" equalAverage="0" bottom="0" percent="0" rank="0" text="" dxfId="1">
      <formula>"TIDAK"</formula>
    </cfRule>
    <cfRule type="cellIs" priority="4" operator="equal" aboveAverage="0" equalAverage="0" bottom="0" percent="0" rank="0" text="" dxfId="2">
      <formula>"YA"</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true"/>
  </sheetPr>
  <dimension ref="A1:S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9"/>
    <col collapsed="false" customWidth="true" hidden="false" outlineLevel="0" max="3" min="3" style="0" width="34"/>
    <col collapsed="false" customWidth="true" hidden="false" outlineLevel="0" max="4" min="4" style="0" width="12"/>
    <col collapsed="false" customWidth="true" hidden="false" outlineLevel="0" max="5" min="5" style="0" width="9"/>
    <col collapsed="false" customWidth="true" hidden="false" outlineLevel="0" max="6" min="6" style="0" width="8"/>
    <col collapsed="false" customWidth="true" hidden="false" outlineLevel="0" max="7" min="7" style="0" width="11"/>
    <col collapsed="false" customWidth="true" hidden="false" outlineLevel="0" max="8" min="8" style="0" width="9"/>
    <col collapsed="false" customWidth="true" hidden="false" outlineLevel="0" max="17" min="9" style="0" width="10.51"/>
    <col collapsed="false" customWidth="true" hidden="false" outlineLevel="0" max="19" min="18" style="0" width="11"/>
  </cols>
  <sheetData>
    <row r="1" customFormat="false" ht="30" hidden="false" customHeight="true" outlineLevel="0" collapsed="false">
      <c r="A1" s="1" t="s">
        <v>152</v>
      </c>
      <c r="B1" s="1"/>
      <c r="C1" s="1"/>
      <c r="D1" s="1"/>
      <c r="E1" s="1"/>
      <c r="F1" s="1"/>
      <c r="G1" s="1"/>
      <c r="H1" s="1"/>
      <c r="I1" s="1"/>
      <c r="J1" s="1"/>
      <c r="K1" s="1"/>
      <c r="L1" s="1"/>
      <c r="M1" s="1"/>
      <c r="N1" s="1"/>
      <c r="O1" s="1"/>
      <c r="P1" s="1"/>
      <c r="Q1" s="1"/>
      <c r="R1" s="1"/>
      <c r="S1" s="1"/>
    </row>
    <row r="2" customFormat="false" ht="18" hidden="false" customHeight="true" outlineLevel="0" collapsed="false">
      <c r="A2" s="2" t="str">
        <f aca="false">"Nisbah = nilai negeri / purata 5 negeri sederhana | Sumber garis asas: "&amp;P_SUMBER&amp;" | Had nisbah: "&amp;IF(P_HAD&gt;=99,"tiada",TEXT(P_HAD,"0.0"))&amp;" | Garis asas sah jika sekurang-kurangnya "&amp;P_MINN&amp;" negeri sederhana ada data"</f>
        <v>Nisbah = nilai negeri / purata 5 negeri sederhana | Sumber garis asas: Nasional | Had nisbah: tiada | Garis asas sah jika sekurang-kurangnya 3 negeri sederhana ada data</v>
      </c>
      <c r="B2" s="2"/>
      <c r="C2" s="2"/>
      <c r="D2" s="2"/>
      <c r="E2" s="2"/>
      <c r="F2" s="2"/>
      <c r="G2" s="2"/>
      <c r="H2" s="2"/>
      <c r="I2" s="2"/>
      <c r="J2" s="2"/>
      <c r="K2" s="2"/>
      <c r="L2" s="2"/>
      <c r="M2" s="2"/>
      <c r="N2" s="2"/>
      <c r="O2" s="2"/>
      <c r="P2" s="2"/>
      <c r="Q2" s="2"/>
      <c r="R2" s="2"/>
      <c r="S2" s="2"/>
    </row>
    <row r="4" customFormat="false" ht="18" hidden="false" customHeight="true" outlineLevel="0" collapsed="false">
      <c r="A4" s="96" t="s">
        <v>153</v>
      </c>
      <c r="B4" s="96"/>
      <c r="C4" s="96"/>
      <c r="D4" s="96"/>
      <c r="E4" s="96"/>
      <c r="F4" s="96"/>
      <c r="G4" s="96"/>
      <c r="H4" s="96"/>
      <c r="I4" s="58" t="s">
        <v>154</v>
      </c>
      <c r="J4" s="58"/>
      <c r="K4" s="58"/>
      <c r="L4" s="58"/>
      <c r="M4" s="97" t="s">
        <v>155</v>
      </c>
      <c r="N4" s="97"/>
      <c r="O4" s="97"/>
      <c r="P4" s="97"/>
      <c r="Q4" s="97"/>
      <c r="R4" s="96" t="s">
        <v>156</v>
      </c>
      <c r="S4" s="96"/>
    </row>
    <row r="5" customFormat="false" ht="52.5" hidden="false" customHeight="true" outlineLevel="0" collapsed="false">
      <c r="A5" s="24" t="s">
        <v>157</v>
      </c>
      <c r="B5" s="24" t="s">
        <v>59</v>
      </c>
      <c r="C5" s="24" t="s">
        <v>158</v>
      </c>
      <c r="D5" s="24" t="s">
        <v>159</v>
      </c>
      <c r="E5" s="24" t="s">
        <v>160</v>
      </c>
      <c r="F5" s="24" t="s">
        <v>161</v>
      </c>
      <c r="G5" s="24" t="s">
        <v>162</v>
      </c>
      <c r="H5" s="24" t="s">
        <v>163</v>
      </c>
      <c r="I5" s="59" t="s">
        <v>29</v>
      </c>
      <c r="J5" s="59" t="s">
        <v>31</v>
      </c>
      <c r="K5" s="59" t="s">
        <v>32</v>
      </c>
      <c r="L5" s="59" t="s">
        <v>33</v>
      </c>
      <c r="M5" s="98" t="s">
        <v>34</v>
      </c>
      <c r="N5" s="98" t="s">
        <v>36</v>
      </c>
      <c r="O5" s="98" t="s">
        <v>37</v>
      </c>
      <c r="P5" s="98" t="s">
        <v>38</v>
      </c>
      <c r="Q5" s="98" t="s">
        <v>39</v>
      </c>
      <c r="R5" s="24" t="s">
        <v>164</v>
      </c>
      <c r="S5" s="24" t="s">
        <v>165</v>
      </c>
    </row>
    <row r="6" customFormat="false" ht="19.5" hidden="false" customHeight="true" outlineLevel="0" collapsed="false">
      <c r="A6" s="99" t="s">
        <v>166</v>
      </c>
      <c r="B6" s="100" t="s">
        <v>66</v>
      </c>
      <c r="C6" s="101" t="s">
        <v>67</v>
      </c>
      <c r="D6" s="102" t="n">
        <f aca="false">IF(E6&gt;=P_MINN,AVERAGE('Data 9 Negeri'!H80:L80),"")</f>
        <v>860.6</v>
      </c>
      <c r="E6" s="103" t="n">
        <f aca="false">COUNT('Data 9 Negeri'!H80:L80)</f>
        <v>5</v>
      </c>
      <c r="F6" s="103" t="n">
        <f aca="false">COUNT('Data 9 Negeri'!D80:G80)</f>
        <v>4</v>
      </c>
      <c r="G6" s="104"/>
      <c r="H6" s="105" t="str">
        <f aca="false">IF(G6&lt;&gt;"",UPPER(TRIM(G6)),IF(AND(E6&gt;=P_MINN,F6=4),"YA","TIDAK"))</f>
        <v>YA</v>
      </c>
      <c r="I6" s="106" t="n">
        <f aca="false">IF(AND($H6="YA",ISNUMBER($D6),ISNUMBER('Data 9 Negeri'!D80)),IFERROR(MIN('Data 9 Negeri'!D80/$D6,P_HAD),""),"")</f>
        <v>1.51057401812689</v>
      </c>
      <c r="J6" s="106" t="n">
        <f aca="false">IF(AND($H6="YA",ISNUMBER($D6),ISNUMBER('Data 9 Negeri'!E80)),IFERROR(MIN('Data 9 Negeri'!E80/$D6,P_HAD),""),"")</f>
        <v>1.62909597954915</v>
      </c>
      <c r="K6" s="106" t="n">
        <f aca="false">IF(AND($H6="YA",ISNUMBER($D6),ISNUMBER('Data 9 Negeri'!F80)),IFERROR(MIN('Data 9 Negeri'!F80/$D6,P_HAD),""),"")</f>
        <v>1.35022077620265</v>
      </c>
      <c r="L6" s="106" t="n">
        <f aca="false">IF(AND($H6="YA",ISNUMBER($D6),ISNUMBER('Data 9 Negeri'!G80)),IFERROR(MIN('Data 9 Negeri'!G80/$D6,P_HAD),""),"")</f>
        <v>0.934231931210783</v>
      </c>
      <c r="M6" s="106" t="n">
        <f aca="false">IF(AND($H6="YA",ISNUMBER($D6),ISNUMBER('Data 9 Negeri'!H80)),IFERROR(MIN('Data 9 Negeri'!H80/$D6,P_HAD),""),"")</f>
        <v>1.218917034627</v>
      </c>
      <c r="N6" s="106" t="n">
        <f aca="false">IF(AND($H6="YA",ISNUMBER($D6),ISNUMBER('Data 9 Negeri'!I80)),IFERROR(MIN('Data 9 Negeri'!I80/$D6,P_HAD),""),"")</f>
        <v>0.933069951196839</v>
      </c>
      <c r="O6" s="106" t="n">
        <f aca="false">IF(AND($H6="YA",ISNUMBER($D6),ISNUMBER('Data 9 Negeri'!J80)),IFERROR(MIN('Data 9 Negeri'!J80/$D6,P_HAD),""),"")</f>
        <v>1.02138043225657</v>
      </c>
      <c r="P6" s="106" t="n">
        <f aca="false">IF(AND($H6="YA",ISNUMBER($D6),ISNUMBER('Data 9 Negeri'!K80)),IFERROR(MIN('Data 9 Negeri'!K80/$D6,P_HAD),""),"")</f>
        <v>0.974901231698815</v>
      </c>
      <c r="Q6" s="106" t="n">
        <f aca="false">IF(AND($H6="YA",ISNUMBER($D6),ISNUMBER('Data 9 Negeri'!L80)),IFERROR(MIN('Data 9 Negeri'!L80/$D6,P_HAD),""),"")</f>
        <v>0.851731350220776</v>
      </c>
      <c r="R6" s="106" t="n">
        <f aca="false">IFERROR(AVERAGE(M6:Q6),"")</f>
        <v>1</v>
      </c>
      <c r="S6" s="106" t="n">
        <f aca="false">IFERROR(AVERAGE(I6:L6),"")</f>
        <v>1.35603067627237</v>
      </c>
    </row>
    <row r="7" customFormat="false" ht="19.5" hidden="false" customHeight="true" outlineLevel="0" collapsed="false">
      <c r="A7" s="99" t="s">
        <v>167</v>
      </c>
      <c r="B7" s="100" t="s">
        <v>66</v>
      </c>
      <c r="C7" s="101" t="s">
        <v>70</v>
      </c>
      <c r="D7" s="102" t="n">
        <f aca="false">IF(E7&gt;=P_MINN,AVERAGE('Data 9 Negeri'!H81:L81),"")</f>
        <v>39.6</v>
      </c>
      <c r="E7" s="103" t="n">
        <f aca="false">COUNT('Data 9 Negeri'!H81:L81)</f>
        <v>5</v>
      </c>
      <c r="F7" s="103" t="n">
        <f aca="false">COUNT('Data 9 Negeri'!D81:G81)</f>
        <v>4</v>
      </c>
      <c r="G7" s="104"/>
      <c r="H7" s="105" t="str">
        <f aca="false">IF(G7&lt;&gt;"",UPPER(TRIM(G7)),IF(AND(E7&gt;=P_MINN,F7=4),"YA","TIDAK"))</f>
        <v>YA</v>
      </c>
      <c r="I7" s="106" t="n">
        <f aca="false">IF(AND($H7="YA",ISNUMBER($D7),ISNUMBER('Data 9 Negeri'!D81)),IFERROR(MIN('Data 9 Negeri'!D81/$D7,P_HAD),""),"")</f>
        <v>2.14646464646465</v>
      </c>
      <c r="J7" s="106" t="n">
        <f aca="false">IF(AND($H7="YA",ISNUMBER($D7),ISNUMBER('Data 9 Negeri'!E81)),IFERROR(MIN('Data 9 Negeri'!E81/$D7,P_HAD),""),"")</f>
        <v>1.69191919191919</v>
      </c>
      <c r="K7" s="106" t="n">
        <f aca="false">IF(AND($H7="YA",ISNUMBER($D7),ISNUMBER('Data 9 Negeri'!F81)),IFERROR(MIN('Data 9 Negeri'!F81/$D7,P_HAD),""),"")</f>
        <v>1.48989898989899</v>
      </c>
      <c r="L7" s="106" t="n">
        <f aca="false">IF(AND($H7="YA",ISNUMBER($D7),ISNUMBER('Data 9 Negeri'!G81)),IFERROR(MIN('Data 9 Negeri'!G81/$D7,P_HAD),""),"")</f>
        <v>1.11111111111111</v>
      </c>
      <c r="M7" s="106" t="n">
        <f aca="false">IF(AND($H7="YA",ISNUMBER($D7),ISNUMBER('Data 9 Negeri'!H81)),IFERROR(MIN('Data 9 Negeri'!H81/$D7,P_HAD),""),"")</f>
        <v>0.95959595959596</v>
      </c>
      <c r="N7" s="106" t="n">
        <f aca="false">IF(AND($H7="YA",ISNUMBER($D7),ISNUMBER('Data 9 Negeri'!I81)),IFERROR(MIN('Data 9 Negeri'!I81/$D7,P_HAD),""),"")</f>
        <v>1.41414141414141</v>
      </c>
      <c r="O7" s="106" t="n">
        <f aca="false">IF(AND($H7="YA",ISNUMBER($D7),ISNUMBER('Data 9 Negeri'!J81)),IFERROR(MIN('Data 9 Negeri'!J81/$D7,P_HAD),""),"")</f>
        <v>0.909090909090909</v>
      </c>
      <c r="P7" s="106" t="n">
        <f aca="false">IF(AND($H7="YA",ISNUMBER($D7),ISNUMBER('Data 9 Negeri'!K81)),IFERROR(MIN('Data 9 Negeri'!K81/$D7,P_HAD),""),"")</f>
        <v>0.782828282828283</v>
      </c>
      <c r="Q7" s="106" t="n">
        <f aca="false">IF(AND($H7="YA",ISNUMBER($D7),ISNUMBER('Data 9 Negeri'!L81)),IFERROR(MIN('Data 9 Negeri'!L81/$D7,P_HAD),""),"")</f>
        <v>0.934343434343434</v>
      </c>
      <c r="R7" s="106" t="n">
        <f aca="false">IFERROR(AVERAGE(M7:Q7),"")</f>
        <v>1</v>
      </c>
      <c r="S7" s="106" t="n">
        <f aca="false">IFERROR(AVERAGE(I7:L7),"")</f>
        <v>1.60984848484848</v>
      </c>
    </row>
    <row r="8" customFormat="false" ht="19.5" hidden="false" customHeight="true" outlineLevel="0" collapsed="false">
      <c r="A8" s="99" t="s">
        <v>168</v>
      </c>
      <c r="B8" s="100" t="s">
        <v>66</v>
      </c>
      <c r="C8" s="101" t="s">
        <v>73</v>
      </c>
      <c r="D8" s="102" t="n">
        <f aca="false">IF(E8&gt;=P_MINN,AVERAGE('Data 9 Negeri'!H82:L82),"")</f>
        <v>819</v>
      </c>
      <c r="E8" s="103" t="n">
        <f aca="false">COUNT('Data 9 Negeri'!H82:L82)</f>
        <v>5</v>
      </c>
      <c r="F8" s="103" t="n">
        <f aca="false">COUNT('Data 9 Negeri'!D82:G82)</f>
        <v>4</v>
      </c>
      <c r="G8" s="104"/>
      <c r="H8" s="105" t="str">
        <f aca="false">IF(G8&lt;&gt;"",UPPER(TRIM(G8)),IF(AND(E8&gt;=P_MINN,F8=4),"YA","TIDAK"))</f>
        <v>YA</v>
      </c>
      <c r="I8" s="106" t="n">
        <f aca="false">IF(AND($H8="YA",ISNUMBER($D8),ISNUMBER('Data 9 Negeri'!D82)),IFERROR(MIN('Data 9 Negeri'!D82/$D8,P_HAD),""),"")</f>
        <v>1.57631257631258</v>
      </c>
      <c r="J8" s="106" t="n">
        <f aca="false">IF(AND($H8="YA",ISNUMBER($D8),ISNUMBER('Data 9 Negeri'!E82)),IFERROR(MIN('Data 9 Negeri'!E82/$D8,P_HAD),""),"")</f>
        <v>1.64713064713065</v>
      </c>
      <c r="K8" s="106" t="n">
        <f aca="false">IF(AND($H8="YA",ISNUMBER($D8),ISNUMBER('Data 9 Negeri'!F82)),IFERROR(MIN('Data 9 Negeri'!F82/$D8,P_HAD),""),"")</f>
        <v>1.27350427350427</v>
      </c>
      <c r="L8" s="106" t="n">
        <f aca="false">IF(AND($H8="YA",ISNUMBER($D8),ISNUMBER('Data 9 Negeri'!G82)),IFERROR(MIN('Data 9 Negeri'!G82/$D8,P_HAD),""),"")</f>
        <v>0.924297924297924</v>
      </c>
      <c r="M8" s="106" t="n">
        <f aca="false">IF(AND($H8="YA",ISNUMBER($D8),ISNUMBER('Data 9 Negeri'!H82)),IFERROR(MIN('Data 9 Negeri'!H82/$D8,P_HAD),""),"")</f>
        <v>1.15628815628816</v>
      </c>
      <c r="N8" s="106" t="n">
        <f aca="false">IF(AND($H8="YA",ISNUMBER($D8),ISNUMBER('Data 9 Negeri'!I82)),IFERROR(MIN('Data 9 Negeri'!I82/$D8,P_HAD),""),"")</f>
        <v>0.923076923076923</v>
      </c>
      <c r="O8" s="106" t="n">
        <f aca="false">IF(AND($H8="YA",ISNUMBER($D8),ISNUMBER('Data 9 Negeri'!J82)),IFERROR(MIN('Data 9 Negeri'!J82/$D8,P_HAD),""),"")</f>
        <v>1.01831501831502</v>
      </c>
      <c r="P8" s="106" t="n">
        <f aca="false">IF(AND($H8="YA",ISNUMBER($D8),ISNUMBER('Data 9 Negeri'!K82)),IFERROR(MIN('Data 9 Negeri'!K82/$D8,P_HAD),""),"")</f>
        <v>1.00732600732601</v>
      </c>
      <c r="Q8" s="106" t="n">
        <f aca="false">IF(AND($H8="YA",ISNUMBER($D8),ISNUMBER('Data 9 Negeri'!L82)),IFERROR(MIN('Data 9 Negeri'!L82/$D8,P_HAD),""),"")</f>
        <v>0.894993894993895</v>
      </c>
      <c r="R8" s="106" t="n">
        <f aca="false">IFERROR(AVERAGE(M8:Q8),"")</f>
        <v>1</v>
      </c>
      <c r="S8" s="106" t="n">
        <f aca="false">IFERROR(AVERAGE(I8:L8),"")</f>
        <v>1.35531135531136</v>
      </c>
    </row>
    <row r="9" customFormat="false" ht="19.5" hidden="false" customHeight="true" outlineLevel="0" collapsed="false">
      <c r="A9" s="99" t="s">
        <v>169</v>
      </c>
      <c r="B9" s="100" t="s">
        <v>66</v>
      </c>
      <c r="C9" s="101" t="s">
        <v>76</v>
      </c>
      <c r="D9" s="102" t="n">
        <f aca="false">IF(E9&gt;=P_MINN,AVERAGE('Data 9 Negeri'!H83:L83),"")</f>
        <v>140.2</v>
      </c>
      <c r="E9" s="103" t="n">
        <f aca="false">COUNT('Data 9 Negeri'!H83:L83)</f>
        <v>5</v>
      </c>
      <c r="F9" s="103" t="n">
        <f aca="false">COUNT('Data 9 Negeri'!D83:G83)</f>
        <v>4</v>
      </c>
      <c r="G9" s="104"/>
      <c r="H9" s="105" t="str">
        <f aca="false">IF(G9&lt;&gt;"",UPPER(TRIM(G9)),IF(AND(E9&gt;=P_MINN,F9=4),"YA","TIDAK"))</f>
        <v>YA</v>
      </c>
      <c r="I9" s="106" t="n">
        <f aca="false">IF(AND($H9="YA",ISNUMBER($D9),ISNUMBER('Data 9 Negeri'!D83)),IFERROR(MIN('Data 9 Negeri'!D83/$D9,P_HAD),""),"")</f>
        <v>1.77603423680457</v>
      </c>
      <c r="J9" s="106" t="n">
        <f aca="false">IF(AND($H9="YA",ISNUMBER($D9),ISNUMBER('Data 9 Negeri'!E83)),IFERROR(MIN('Data 9 Negeri'!E83/$D9,P_HAD),""),"")</f>
        <v>1.46932952924394</v>
      </c>
      <c r="K9" s="106" t="n">
        <f aca="false">IF(AND($H9="YA",ISNUMBER($D9),ISNUMBER('Data 9 Negeri'!F83)),IFERROR(MIN('Data 9 Negeri'!F83/$D9,P_HAD),""),"")</f>
        <v>1.27674750356633</v>
      </c>
      <c r="L9" s="106" t="n">
        <f aca="false">IF(AND($H9="YA",ISNUMBER($D9),ISNUMBER('Data 9 Negeri'!G83)),IFERROR(MIN('Data 9 Negeri'!G83/$D9,P_HAD),""),"")</f>
        <v>1.06276747503566</v>
      </c>
      <c r="M9" s="106" t="n">
        <f aca="false">IF(AND($H9="YA",ISNUMBER($D9),ISNUMBER('Data 9 Negeri'!H83)),IFERROR(MIN('Data 9 Negeri'!H83/$D9,P_HAD),""),"")</f>
        <v>1.19828815977175</v>
      </c>
      <c r="N9" s="106" t="n">
        <f aca="false">IF(AND($H9="YA",ISNUMBER($D9),ISNUMBER('Data 9 Negeri'!I83)),IFERROR(MIN('Data 9 Negeri'!I83/$D9,P_HAD),""),"")</f>
        <v>1.40513552068474</v>
      </c>
      <c r="O9" s="106" t="n">
        <f aca="false">IF(AND($H9="YA",ISNUMBER($D9),ISNUMBER('Data 9 Negeri'!J83)),IFERROR(MIN('Data 9 Negeri'!J83/$D9,P_HAD),""),"")</f>
        <v>0.834522111269615</v>
      </c>
      <c r="P9" s="106" t="n">
        <f aca="false">IF(AND($H9="YA",ISNUMBER($D9),ISNUMBER('Data 9 Negeri'!K83)),IFERROR(MIN('Data 9 Negeri'!K83/$D9,P_HAD),""),"")</f>
        <v>0.741797432239658</v>
      </c>
      <c r="Q9" s="106" t="n">
        <f aca="false">IF(AND($H9="YA",ISNUMBER($D9),ISNUMBER('Data 9 Negeri'!L83)),IFERROR(MIN('Data 9 Negeri'!L83/$D9,P_HAD),""),"")</f>
        <v>0.820256776034237</v>
      </c>
      <c r="R9" s="106" t="n">
        <f aca="false">IFERROR(AVERAGE(M9:Q9),"")</f>
        <v>1</v>
      </c>
      <c r="S9" s="106" t="n">
        <f aca="false">IFERROR(AVERAGE(I9:L9),"")</f>
        <v>1.39621968616262</v>
      </c>
    </row>
    <row r="10" customFormat="false" ht="19.5" hidden="false" customHeight="true" outlineLevel="0" collapsed="false">
      <c r="A10" s="99" t="s">
        <v>170</v>
      </c>
      <c r="B10" s="100" t="s">
        <v>66</v>
      </c>
      <c r="C10" s="101" t="s">
        <v>79</v>
      </c>
      <c r="D10" s="102" t="n">
        <f aca="false">IF(E10&gt;=P_MINN,AVERAGE('Data 9 Negeri'!H84:L84),"")</f>
        <v>892.6</v>
      </c>
      <c r="E10" s="103" t="n">
        <f aca="false">COUNT('Data 9 Negeri'!H84:L84)</f>
        <v>5</v>
      </c>
      <c r="F10" s="103" t="n">
        <f aca="false">COUNT('Data 9 Negeri'!D84:G84)</f>
        <v>4</v>
      </c>
      <c r="G10" s="104"/>
      <c r="H10" s="105" t="str">
        <f aca="false">IF(G10&lt;&gt;"",UPPER(TRIM(G10)),IF(AND(E10&gt;=P_MINN,F10=4),"YA","TIDAK"))</f>
        <v>YA</v>
      </c>
      <c r="I10" s="106" t="n">
        <f aca="false">IF(AND($H10="YA",ISNUMBER($D10),ISNUMBER('Data 9 Negeri'!D84)),IFERROR(MIN('Data 9 Negeri'!D84/$D10,P_HAD),""),"")</f>
        <v>1.41496751064307</v>
      </c>
      <c r="J10" s="106" t="n">
        <f aca="false">IF(AND($H10="YA",ISNUMBER($D10),ISNUMBER('Data 9 Negeri'!E84)),IFERROR(MIN('Data 9 Negeri'!E84/$D10,P_HAD),""),"")</f>
        <v>1.64127268653372</v>
      </c>
      <c r="K10" s="106" t="n">
        <f aca="false">IF(AND($H10="YA",ISNUMBER($D10),ISNUMBER('Data 9 Negeri'!F84)),IFERROR(MIN('Data 9 Negeri'!F84/$D10,P_HAD),""),"")</f>
        <v>1.3701546045261</v>
      </c>
      <c r="L10" s="106" t="n">
        <f aca="false">IF(AND($H10="YA",ISNUMBER($D10),ISNUMBER('Data 9 Negeri'!G84)),IFERROR(MIN('Data 9 Negeri'!G84/$D10,P_HAD),""),"")</f>
        <v>0.951153932332512</v>
      </c>
      <c r="M10" s="106" t="n">
        <f aca="false">IF(AND($H10="YA",ISNUMBER($D10),ISNUMBER('Data 9 Negeri'!H84)),IFERROR(MIN('Data 9 Negeri'!H84/$D10,P_HAD),""),"")</f>
        <v>1.21106878781089</v>
      </c>
      <c r="N10" s="106" t="n">
        <f aca="false">IF(AND($H10="YA",ISNUMBER($D10),ISNUMBER('Data 9 Negeri'!I84)),IFERROR(MIN('Data 9 Negeri'!I84/$D10,P_HAD),""),"")</f>
        <v>0.963477481514676</v>
      </c>
      <c r="O10" s="106" t="n">
        <f aca="false">IF(AND($H10="YA",ISNUMBER($D10),ISNUMBER('Data 9 Negeri'!J84)),IFERROR(MIN('Data 9 Negeri'!J84/$D10,P_HAD),""),"")</f>
        <v>1.02397490477257</v>
      </c>
      <c r="P10" s="106" t="n">
        <f aca="false">IF(AND($H10="YA",ISNUMBER($D10),ISNUMBER('Data 9 Negeri'!K84)),IFERROR(MIN('Data 9 Negeri'!K84/$D10,P_HAD),""),"")</f>
        <v>0.937710060497423</v>
      </c>
      <c r="Q10" s="106" t="n">
        <f aca="false">IF(AND($H10="YA",ISNUMBER($D10),ISNUMBER('Data 9 Negeri'!L84)),IFERROR(MIN('Data 9 Negeri'!L84/$D10,P_HAD),""),"")</f>
        <v>0.863768765404437</v>
      </c>
      <c r="R10" s="106" t="n">
        <f aca="false">IFERROR(AVERAGE(M10:Q10),"")</f>
        <v>1</v>
      </c>
      <c r="S10" s="106" t="n">
        <f aca="false">IFERROR(AVERAGE(I10:L10),"")</f>
        <v>1.34438718350885</v>
      </c>
    </row>
    <row r="11" customFormat="false" ht="19.5" hidden="false" customHeight="true" outlineLevel="0" collapsed="false">
      <c r="A11" s="99" t="s">
        <v>171</v>
      </c>
      <c r="B11" s="100" t="s">
        <v>66</v>
      </c>
      <c r="C11" s="101" t="s">
        <v>82</v>
      </c>
      <c r="D11" s="102" t="n">
        <f aca="false">IF(E11&gt;=P_MINN,AVERAGE('Data 9 Negeri'!H85:L85),"")</f>
        <v>18423.4</v>
      </c>
      <c r="E11" s="103" t="n">
        <f aca="false">COUNT('Data 9 Negeri'!H85:L85)</f>
        <v>5</v>
      </c>
      <c r="F11" s="103" t="n">
        <f aca="false">COUNT('Data 9 Negeri'!D85:G85)</f>
        <v>4</v>
      </c>
      <c r="G11" s="104"/>
      <c r="H11" s="105" t="str">
        <f aca="false">IF(G11&lt;&gt;"",UPPER(TRIM(G11)),IF(AND(E11&gt;=P_MINN,F11=4),"YA","TIDAK"))</f>
        <v>YA</v>
      </c>
      <c r="I11" s="106" t="n">
        <f aca="false">IF(AND($H11="YA",ISNUMBER($D11),ISNUMBER('Data 9 Negeri'!D85)),IFERROR(MIN('Data 9 Negeri'!D85/$D11,P_HAD),""),"")</f>
        <v>0.88165050967791</v>
      </c>
      <c r="J11" s="106" t="n">
        <f aca="false">IF(AND($H11="YA",ISNUMBER($D11),ISNUMBER('Data 9 Negeri'!E85)),IFERROR(MIN('Data 9 Negeri'!E85/$D11,P_HAD),""),"")</f>
        <v>1.42270156431495</v>
      </c>
      <c r="K11" s="106" t="n">
        <f aca="false">IF(AND($H11="YA",ISNUMBER($D11),ISNUMBER('Data 9 Negeri'!F85)),IFERROR(MIN('Data 9 Negeri'!F85/$D11,P_HAD),""),"")</f>
        <v>1.30182268202395</v>
      </c>
      <c r="L11" s="106" t="n">
        <f aca="false">IF(AND($H11="YA",ISNUMBER($D11),ISNUMBER('Data 9 Negeri'!G85)),IFERROR(MIN('Data 9 Negeri'!G85/$D11,P_HAD),""),"")</f>
        <v>0.82563479053812</v>
      </c>
      <c r="M11" s="106" t="n">
        <f aca="false">IF(AND($H11="YA",ISNUMBER($D11),ISNUMBER('Data 9 Negeri'!H85)),IFERROR(MIN('Data 9 Negeri'!H85/$D11,P_HAD),""),"")</f>
        <v>1.39469370474505</v>
      </c>
      <c r="N11" s="106" t="n">
        <f aca="false">IF(AND($H11="YA",ISNUMBER($D11),ISNUMBER('Data 9 Negeri'!I85)),IFERROR(MIN('Data 9 Negeri'!I85/$D11,P_HAD),""),"")</f>
        <v>0.911558127164367</v>
      </c>
      <c r="O11" s="106" t="n">
        <f aca="false">IF(AND($H11="YA",ISNUMBER($D11),ISNUMBER('Data 9 Negeri'!J85)),IFERROR(MIN('Data 9 Negeri'!J85/$D11,P_HAD),""),"")</f>
        <v>0.849300346298729</v>
      </c>
      <c r="P11" s="106" t="n">
        <f aca="false">IF(AND($H11="YA",ISNUMBER($D11),ISNUMBER('Data 9 Negeri'!K85)),IFERROR(MIN('Data 9 Negeri'!K85/$D11,P_HAD),""),"")</f>
        <v>0.991022286874301</v>
      </c>
      <c r="Q11" s="106" t="n">
        <f aca="false">IF(AND($H11="YA",ISNUMBER($D11),ISNUMBER('Data 9 Negeri'!L85)),IFERROR(MIN('Data 9 Negeri'!L85/$D11,P_HAD),""),"")</f>
        <v>0.853425534917551</v>
      </c>
      <c r="R11" s="106" t="n">
        <f aca="false">IFERROR(AVERAGE(M11:Q11),"")</f>
        <v>1</v>
      </c>
      <c r="S11" s="106" t="n">
        <f aca="false">IFERROR(AVERAGE(I11:L11),"")</f>
        <v>1.10795238663873</v>
      </c>
    </row>
    <row r="12" customFormat="false" ht="19.5" hidden="false" customHeight="true" outlineLevel="0" collapsed="false">
      <c r="A12" s="99" t="s">
        <v>172</v>
      </c>
      <c r="B12" s="100" t="s">
        <v>66</v>
      </c>
      <c r="C12" s="101" t="s">
        <v>85</v>
      </c>
      <c r="D12" s="102" t="n">
        <f aca="false">IF(E12&gt;=P_MINN,AVERAGE('Data 9 Negeri'!H86:L86),"")</f>
        <v>795.8</v>
      </c>
      <c r="E12" s="103" t="n">
        <f aca="false">COUNT('Data 9 Negeri'!H86:L86)</f>
        <v>5</v>
      </c>
      <c r="F12" s="103" t="n">
        <f aca="false">COUNT('Data 9 Negeri'!D86:G86)</f>
        <v>4</v>
      </c>
      <c r="G12" s="104"/>
      <c r="H12" s="105" t="str">
        <f aca="false">IF(G12&lt;&gt;"",UPPER(TRIM(G12)),IF(AND(E12&gt;=P_MINN,F12=4),"YA","TIDAK"))</f>
        <v>YA</v>
      </c>
      <c r="I12" s="106" t="n">
        <f aca="false">IF(AND($H12="YA",ISNUMBER($D12),ISNUMBER('Data 9 Negeri'!D86)),IFERROR(MIN('Data 9 Negeri'!D86/$D12,P_HAD),""),"")</f>
        <v>1.51922593616487</v>
      </c>
      <c r="J12" s="106" t="n">
        <f aca="false">IF(AND($H12="YA",ISNUMBER($D12),ISNUMBER('Data 9 Negeri'!E86)),IFERROR(MIN('Data 9 Negeri'!E86/$D12,P_HAD),""),"")</f>
        <v>1.75546619753707</v>
      </c>
      <c r="K12" s="106" t="n">
        <f aca="false">IF(AND($H12="YA",ISNUMBER($D12),ISNUMBER('Data 9 Negeri'!F86)),IFERROR(MIN('Data 9 Negeri'!F86/$D12,P_HAD),""),"")</f>
        <v>1.38728323699422</v>
      </c>
      <c r="L12" s="106" t="n">
        <f aca="false">IF(AND($H12="YA",ISNUMBER($D12),ISNUMBER('Data 9 Negeri'!G86)),IFERROR(MIN('Data 9 Negeri'!G86/$D12,P_HAD),""),"")</f>
        <v>1.10329228449359</v>
      </c>
      <c r="M12" s="106" t="n">
        <f aca="false">IF(AND($H12="YA",ISNUMBER($D12),ISNUMBER('Data 9 Negeri'!H86)),IFERROR(MIN('Data 9 Negeri'!H86/$D12,P_HAD),""),"")</f>
        <v>1.01030409650666</v>
      </c>
      <c r="N12" s="106" t="n">
        <f aca="false">IF(AND($H12="YA",ISNUMBER($D12),ISNUMBER('Data 9 Negeri'!I86)),IFERROR(MIN('Data 9 Negeri'!I86/$D12,P_HAD),""),"")</f>
        <v>1.4425735109324</v>
      </c>
      <c r="O12" s="106" t="n">
        <f aca="false">IF(AND($H12="YA",ISNUMBER($D12),ISNUMBER('Data 9 Negeri'!J86)),IFERROR(MIN('Data 9 Negeri'!J86/$D12,P_HAD),""),"")</f>
        <v>0.899723548630309</v>
      </c>
      <c r="P12" s="106" t="n">
        <f aca="false">IF(AND($H12="YA",ISNUMBER($D12),ISNUMBER('Data 9 Negeri'!K86)),IFERROR(MIN('Data 9 Negeri'!K86/$D12,P_HAD),""),"")</f>
        <v>0.746418698165368</v>
      </c>
      <c r="Q12" s="106" t="n">
        <f aca="false">IF(AND($H12="YA",ISNUMBER($D12),ISNUMBER('Data 9 Negeri'!L86)),IFERROR(MIN('Data 9 Negeri'!L86/$D12,P_HAD),""),"")</f>
        <v>0.900980145765268</v>
      </c>
      <c r="R12" s="106" t="n">
        <f aca="false">IFERROR(AVERAGE(M12:Q12),"")</f>
        <v>1</v>
      </c>
      <c r="S12" s="106" t="n">
        <f aca="false">IFERROR(AVERAGE(I12:L12),"")</f>
        <v>1.44131691379744</v>
      </c>
    </row>
    <row r="13" customFormat="false" ht="19.5" hidden="false" customHeight="true" outlineLevel="0" collapsed="false">
      <c r="A13" s="99" t="s">
        <v>173</v>
      </c>
      <c r="B13" s="100" t="s">
        <v>66</v>
      </c>
      <c r="C13" s="101" t="s">
        <v>88</v>
      </c>
      <c r="D13" s="102" t="n">
        <f aca="false">IF(E13&gt;=P_MINN,AVERAGE('Data 9 Negeri'!H87:L87),"")</f>
        <v>17</v>
      </c>
      <c r="E13" s="103" t="n">
        <f aca="false">COUNT('Data 9 Negeri'!H87:L87)</f>
        <v>5</v>
      </c>
      <c r="F13" s="103" t="n">
        <f aca="false">COUNT('Data 9 Negeri'!D87:G87)</f>
        <v>4</v>
      </c>
      <c r="G13" s="104"/>
      <c r="H13" s="105" t="str">
        <f aca="false">IF(G13&lt;&gt;"",UPPER(TRIM(G13)),IF(AND(E13&gt;=P_MINN,F13=4),"YA","TIDAK"))</f>
        <v>YA</v>
      </c>
      <c r="I13" s="106" t="n">
        <f aca="false">IF(AND($H13="YA",ISNUMBER($D13),ISNUMBER('Data 9 Negeri'!D87)),IFERROR(MIN('Data 9 Negeri'!D87/$D13,P_HAD),""),"")</f>
        <v>2.17647058823529</v>
      </c>
      <c r="J13" s="106" t="n">
        <f aca="false">IF(AND($H13="YA",ISNUMBER($D13),ISNUMBER('Data 9 Negeri'!E87)),IFERROR(MIN('Data 9 Negeri'!E87/$D13,P_HAD),""),"")</f>
        <v>2.11764705882353</v>
      </c>
      <c r="K13" s="106" t="n">
        <f aca="false">IF(AND($H13="YA",ISNUMBER($D13),ISNUMBER('Data 9 Negeri'!F87)),IFERROR(MIN('Data 9 Negeri'!F87/$D13,P_HAD),""),"")</f>
        <v>1.17647058823529</v>
      </c>
      <c r="L13" s="106" t="n">
        <f aca="false">IF(AND($H13="YA",ISNUMBER($D13),ISNUMBER('Data 9 Negeri'!G87)),IFERROR(MIN('Data 9 Negeri'!G87/$D13,P_HAD),""),"")</f>
        <v>1.23529411764706</v>
      </c>
      <c r="M13" s="106" t="n">
        <f aca="false">IF(AND($H13="YA",ISNUMBER($D13),ISNUMBER('Data 9 Negeri'!H87)),IFERROR(MIN('Data 9 Negeri'!H87/$D13,P_HAD),""),"")</f>
        <v>1.05882352941176</v>
      </c>
      <c r="N13" s="106" t="n">
        <f aca="false">IF(AND($H13="YA",ISNUMBER($D13),ISNUMBER('Data 9 Negeri'!I87)),IFERROR(MIN('Data 9 Negeri'!I87/$D13,P_HAD),""),"")</f>
        <v>0.882352941176471</v>
      </c>
      <c r="O13" s="106" t="n">
        <f aca="false">IF(AND($H13="YA",ISNUMBER($D13),ISNUMBER('Data 9 Negeri'!J87)),IFERROR(MIN('Data 9 Negeri'!J87/$D13,P_HAD),""),"")</f>
        <v>1.11764705882353</v>
      </c>
      <c r="P13" s="106" t="n">
        <f aca="false">IF(AND($H13="YA",ISNUMBER($D13),ISNUMBER('Data 9 Negeri'!K87)),IFERROR(MIN('Data 9 Negeri'!K87/$D13,P_HAD),""),"")</f>
        <v>0.941176470588235</v>
      </c>
      <c r="Q13" s="106" t="n">
        <f aca="false">IF(AND($H13="YA",ISNUMBER($D13),ISNUMBER('Data 9 Negeri'!L87)),IFERROR(MIN('Data 9 Negeri'!L87/$D13,P_HAD),""),"")</f>
        <v>1</v>
      </c>
      <c r="R13" s="106" t="n">
        <f aca="false">IFERROR(AVERAGE(M13:Q13),"")</f>
        <v>1</v>
      </c>
      <c r="S13" s="106" t="n">
        <f aca="false">IFERROR(AVERAGE(I13:L13),"")</f>
        <v>1.67647058823529</v>
      </c>
    </row>
    <row r="14" customFormat="false" ht="19.5" hidden="false" customHeight="true" outlineLevel="0" collapsed="false">
      <c r="A14" s="107" t="s">
        <v>174</v>
      </c>
      <c r="B14" s="108" t="s">
        <v>91</v>
      </c>
      <c r="C14" s="109" t="s">
        <v>92</v>
      </c>
      <c r="D14" s="102" t="n">
        <f aca="false">IF(E14&gt;=P_MINN,AVERAGE('Data 9 Negeri'!H88:L88),"")</f>
        <v>108</v>
      </c>
      <c r="E14" s="103" t="n">
        <f aca="false">COUNT('Data 9 Negeri'!H88:L88)</f>
        <v>5</v>
      </c>
      <c r="F14" s="103" t="n">
        <f aca="false">COUNT('Data 9 Negeri'!D88:G88)</f>
        <v>4</v>
      </c>
      <c r="G14" s="104"/>
      <c r="H14" s="105" t="str">
        <f aca="false">IF(G14&lt;&gt;"",UPPER(TRIM(G14)),IF(AND(E14&gt;=P_MINN,F14=4),"YA","TIDAK"))</f>
        <v>YA</v>
      </c>
      <c r="I14" s="106" t="n">
        <f aca="false">IF(AND($H14="YA",ISNUMBER($D14),ISNUMBER('Data 9 Negeri'!D88)),IFERROR(MIN('Data 9 Negeri'!D88/$D14,P_HAD),""),"")</f>
        <v>1.46296296296296</v>
      </c>
      <c r="J14" s="106" t="n">
        <f aca="false">IF(AND($H14="YA",ISNUMBER($D14),ISNUMBER('Data 9 Negeri'!E88)),IFERROR(MIN('Data 9 Negeri'!E88/$D14,P_HAD),""),"")</f>
        <v>2.12962962962963</v>
      </c>
      <c r="K14" s="106" t="n">
        <f aca="false">IF(AND($H14="YA",ISNUMBER($D14),ISNUMBER('Data 9 Negeri'!F88)),IFERROR(MIN('Data 9 Negeri'!F88/$D14,P_HAD),""),"")</f>
        <v>1.86111111111111</v>
      </c>
      <c r="L14" s="106" t="n">
        <f aca="false">IF(AND($H14="YA",ISNUMBER($D14),ISNUMBER('Data 9 Negeri'!G88)),IFERROR(MIN('Data 9 Negeri'!G88/$D14,P_HAD),""),"")</f>
        <v>1.75925925925926</v>
      </c>
      <c r="M14" s="106" t="n">
        <f aca="false">IF(AND($H14="YA",ISNUMBER($D14),ISNUMBER('Data 9 Negeri'!H88)),IFERROR(MIN('Data 9 Negeri'!H88/$D14,P_HAD),""),"")</f>
        <v>1.11111111111111</v>
      </c>
      <c r="N14" s="106" t="n">
        <f aca="false">IF(AND($H14="YA",ISNUMBER($D14),ISNUMBER('Data 9 Negeri'!I88)),IFERROR(MIN('Data 9 Negeri'!I88/$D14,P_HAD),""),"")</f>
        <v>0.583333333333333</v>
      </c>
      <c r="O14" s="106" t="n">
        <f aca="false">IF(AND($H14="YA",ISNUMBER($D14),ISNUMBER('Data 9 Negeri'!J88)),IFERROR(MIN('Data 9 Negeri'!J88/$D14,P_HAD),""),"")</f>
        <v>1.43518518518519</v>
      </c>
      <c r="P14" s="106" t="n">
        <f aca="false">IF(AND($H14="YA",ISNUMBER($D14),ISNUMBER('Data 9 Negeri'!K88)),IFERROR(MIN('Data 9 Negeri'!K88/$D14,P_HAD),""),"")</f>
        <v>0.842592592592593</v>
      </c>
      <c r="Q14" s="106" t="n">
        <f aca="false">IF(AND($H14="YA",ISNUMBER($D14),ISNUMBER('Data 9 Negeri'!L88)),IFERROR(MIN('Data 9 Negeri'!L88/$D14,P_HAD),""),"")</f>
        <v>1.02777777777778</v>
      </c>
      <c r="R14" s="106" t="n">
        <f aca="false">IFERROR(AVERAGE(M14:Q14),"")</f>
        <v>1</v>
      </c>
      <c r="S14" s="106" t="n">
        <f aca="false">IFERROR(AVERAGE(I14:L14),"")</f>
        <v>1.80324074074074</v>
      </c>
    </row>
    <row r="15" customFormat="false" ht="19.5" hidden="false" customHeight="true" outlineLevel="0" collapsed="false">
      <c r="A15" s="107" t="s">
        <v>175</v>
      </c>
      <c r="B15" s="108" t="s">
        <v>91</v>
      </c>
      <c r="C15" s="109" t="s">
        <v>95</v>
      </c>
      <c r="D15" s="102" t="n">
        <f aca="false">IF(E15&gt;=P_MINN,AVERAGE('Data 9 Negeri'!H89:L89),"")</f>
        <v>112.4</v>
      </c>
      <c r="E15" s="103" t="n">
        <f aca="false">COUNT('Data 9 Negeri'!H89:L89)</f>
        <v>5</v>
      </c>
      <c r="F15" s="103" t="n">
        <f aca="false">COUNT('Data 9 Negeri'!D89:G89)</f>
        <v>4</v>
      </c>
      <c r="G15" s="104"/>
      <c r="H15" s="105" t="str">
        <f aca="false">IF(G15&lt;&gt;"",UPPER(TRIM(G15)),IF(AND(E15&gt;=P_MINN,F15=4),"YA","TIDAK"))</f>
        <v>YA</v>
      </c>
      <c r="I15" s="106" t="n">
        <f aca="false">IF(AND($H15="YA",ISNUMBER($D15),ISNUMBER('Data 9 Negeri'!D89)),IFERROR(MIN('Data 9 Negeri'!D89/$D15,P_HAD),""),"")</f>
        <v>1.11209964412811</v>
      </c>
      <c r="J15" s="106" t="n">
        <f aca="false">IF(AND($H15="YA",ISNUMBER($D15),ISNUMBER('Data 9 Negeri'!E89)),IFERROR(MIN('Data 9 Negeri'!E89/$D15,P_HAD),""),"")</f>
        <v>2.04626334519573</v>
      </c>
      <c r="K15" s="106" t="n">
        <f aca="false">IF(AND($H15="YA",ISNUMBER($D15),ISNUMBER('Data 9 Negeri'!F89)),IFERROR(MIN('Data 9 Negeri'!F89/$D15,P_HAD),""),"")</f>
        <v>2.47330960854093</v>
      </c>
      <c r="L15" s="106" t="n">
        <f aca="false">IF(AND($H15="YA",ISNUMBER($D15),ISNUMBER('Data 9 Negeri'!G89)),IFERROR(MIN('Data 9 Negeri'!G89/$D15,P_HAD),""),"")</f>
        <v>1.41459074733096</v>
      </c>
      <c r="M15" s="106" t="n">
        <f aca="false">IF(AND($H15="YA",ISNUMBER($D15),ISNUMBER('Data 9 Negeri'!H89)),IFERROR(MIN('Data 9 Negeri'!H89/$D15,P_HAD),""),"")</f>
        <v>1.46797153024911</v>
      </c>
      <c r="N15" s="106" t="n">
        <f aca="false">IF(AND($H15="YA",ISNUMBER($D15),ISNUMBER('Data 9 Negeri'!I89)),IFERROR(MIN('Data 9 Negeri'!I89/$D15,P_HAD),""),"")</f>
        <v>0.462633451957295</v>
      </c>
      <c r="O15" s="106" t="n">
        <f aca="false">IF(AND($H15="YA",ISNUMBER($D15),ISNUMBER('Data 9 Negeri'!J89)),IFERROR(MIN('Data 9 Negeri'!J89/$D15,P_HAD),""),"")</f>
        <v>1.45017793594306</v>
      </c>
      <c r="P15" s="106" t="n">
        <f aca="false">IF(AND($H15="YA",ISNUMBER($D15),ISNUMBER('Data 9 Negeri'!K89)),IFERROR(MIN('Data 9 Negeri'!K89/$D15,P_HAD),""),"")</f>
        <v>0.729537366548043</v>
      </c>
      <c r="Q15" s="106" t="n">
        <f aca="false">IF(AND($H15="YA",ISNUMBER($D15),ISNUMBER('Data 9 Negeri'!L89)),IFERROR(MIN('Data 9 Negeri'!L89/$D15,P_HAD),""),"")</f>
        <v>0.889679715302491</v>
      </c>
      <c r="R15" s="106" t="n">
        <f aca="false">IFERROR(AVERAGE(M15:Q15),"")</f>
        <v>1</v>
      </c>
      <c r="S15" s="106" t="n">
        <f aca="false">IFERROR(AVERAGE(I15:L15),"")</f>
        <v>1.76156583629893</v>
      </c>
    </row>
    <row r="16" customFormat="false" ht="19.5" hidden="false" customHeight="true" outlineLevel="0" collapsed="false">
      <c r="A16" s="107" t="s">
        <v>176</v>
      </c>
      <c r="B16" s="108" t="s">
        <v>91</v>
      </c>
      <c r="C16" s="109" t="s">
        <v>98</v>
      </c>
      <c r="D16" s="102" t="n">
        <f aca="false">IF(E16&gt;=P_MINN,AVERAGE('Data 9 Negeri'!H90:L90),"")</f>
        <v>60.2</v>
      </c>
      <c r="E16" s="103" t="n">
        <f aca="false">COUNT('Data 9 Negeri'!H90:L90)</f>
        <v>5</v>
      </c>
      <c r="F16" s="103" t="n">
        <f aca="false">COUNT('Data 9 Negeri'!D90:G90)</f>
        <v>4</v>
      </c>
      <c r="G16" s="104"/>
      <c r="H16" s="105" t="str">
        <f aca="false">IF(G16&lt;&gt;"",UPPER(TRIM(G16)),IF(AND(E16&gt;=P_MINN,F16=4),"YA","TIDAK"))</f>
        <v>YA</v>
      </c>
      <c r="I16" s="106" t="n">
        <f aca="false">IF(AND($H16="YA",ISNUMBER($D16),ISNUMBER('Data 9 Negeri'!D90)),IFERROR(MIN('Data 9 Negeri'!D90/$D16,P_HAD),""),"")</f>
        <v>1.12956810631229</v>
      </c>
      <c r="J16" s="106" t="n">
        <f aca="false">IF(AND($H16="YA",ISNUMBER($D16),ISNUMBER('Data 9 Negeri'!E90)),IFERROR(MIN('Data 9 Negeri'!E90/$D16,P_HAD),""),"")</f>
        <v>1.86046511627907</v>
      </c>
      <c r="K16" s="106" t="n">
        <f aca="false">IF(AND($H16="YA",ISNUMBER($D16),ISNUMBER('Data 9 Negeri'!F90)),IFERROR(MIN('Data 9 Negeri'!F90/$D16,P_HAD),""),"")</f>
        <v>1.46179401993355</v>
      </c>
      <c r="L16" s="106" t="n">
        <f aca="false">IF(AND($H16="YA",ISNUMBER($D16),ISNUMBER('Data 9 Negeri'!G90)),IFERROR(MIN('Data 9 Negeri'!G90/$D16,P_HAD),""),"")</f>
        <v>1.52823920265781</v>
      </c>
      <c r="M16" s="106" t="n">
        <f aca="false">IF(AND($H16="YA",ISNUMBER($D16),ISNUMBER('Data 9 Negeri'!H90)),IFERROR(MIN('Data 9 Negeri'!H90/$D16,P_HAD),""),"")</f>
        <v>1.04651162790698</v>
      </c>
      <c r="N16" s="106" t="n">
        <f aca="false">IF(AND($H16="YA",ISNUMBER($D16),ISNUMBER('Data 9 Negeri'!I90)),IFERROR(MIN('Data 9 Negeri'!I90/$D16,P_HAD),""),"")</f>
        <v>0.980066445182724</v>
      </c>
      <c r="O16" s="106" t="n">
        <f aca="false">IF(AND($H16="YA",ISNUMBER($D16),ISNUMBER('Data 9 Negeri'!J90)),IFERROR(MIN('Data 9 Negeri'!J90/$D16,P_HAD),""),"")</f>
        <v>1.02990033222591</v>
      </c>
      <c r="P16" s="106" t="n">
        <f aca="false">IF(AND($H16="YA",ISNUMBER($D16),ISNUMBER('Data 9 Negeri'!K90)),IFERROR(MIN('Data 9 Negeri'!K90/$D16,P_HAD),""),"")</f>
        <v>0.980066445182724</v>
      </c>
      <c r="Q16" s="106" t="n">
        <f aca="false">IF(AND($H16="YA",ISNUMBER($D16),ISNUMBER('Data 9 Negeri'!L90)),IFERROR(MIN('Data 9 Negeri'!L90/$D16,P_HAD),""),"")</f>
        <v>0.963455149501661</v>
      </c>
      <c r="R16" s="106" t="n">
        <f aca="false">IFERROR(AVERAGE(M16:Q16),"")</f>
        <v>1</v>
      </c>
      <c r="S16" s="106" t="n">
        <f aca="false">IFERROR(AVERAGE(I16:L16),"")</f>
        <v>1.49501661129568</v>
      </c>
    </row>
    <row r="17" customFormat="false" ht="19.5" hidden="false" customHeight="true" outlineLevel="0" collapsed="false">
      <c r="A17" s="107" t="s">
        <v>177</v>
      </c>
      <c r="B17" s="108" t="s">
        <v>91</v>
      </c>
      <c r="C17" s="109" t="s">
        <v>101</v>
      </c>
      <c r="D17" s="102" t="n">
        <f aca="false">IF(E17&gt;=P_MINN,AVERAGE('Data 9 Negeri'!H91:L91),"")</f>
        <v>1467.4</v>
      </c>
      <c r="E17" s="103" t="n">
        <f aca="false">COUNT('Data 9 Negeri'!H91:L91)</f>
        <v>5</v>
      </c>
      <c r="F17" s="103" t="n">
        <f aca="false">COUNT('Data 9 Negeri'!D91:G91)</f>
        <v>4</v>
      </c>
      <c r="G17" s="104"/>
      <c r="H17" s="105" t="str">
        <f aca="false">IF(G17&lt;&gt;"",UPPER(TRIM(G17)),IF(AND(E17&gt;=P_MINN,F17=4),"YA","TIDAK"))</f>
        <v>YA</v>
      </c>
      <c r="I17" s="106" t="n">
        <f aca="false">IF(AND($H17="YA",ISNUMBER($D17),ISNUMBER('Data 9 Negeri'!D91)),IFERROR(MIN('Data 9 Negeri'!D91/$D17,P_HAD),""),"")</f>
        <v>1.7009676979692</v>
      </c>
      <c r="J17" s="106" t="n">
        <f aca="false">IF(AND($H17="YA",ISNUMBER($D17),ISNUMBER('Data 9 Negeri'!E91)),IFERROR(MIN('Data 9 Negeri'!E91/$D17,P_HAD),""),"")</f>
        <v>2.78110944527736</v>
      </c>
      <c r="K17" s="106" t="n">
        <f aca="false">IF(AND($H17="YA",ISNUMBER($D17),ISNUMBER('Data 9 Negeri'!F91)),IFERROR(MIN('Data 9 Negeri'!F91/$D17,P_HAD),""),"")</f>
        <v>1.93675889328063</v>
      </c>
      <c r="L17" s="106" t="n">
        <f aca="false">IF(AND($H17="YA",ISNUMBER($D17),ISNUMBER('Data 9 Negeri'!G91)),IFERROR(MIN('Data 9 Negeri'!G91/$D17,P_HAD),""),"")</f>
        <v>2.22229794193812</v>
      </c>
      <c r="M17" s="106" t="n">
        <f aca="false">IF(AND($H17="YA",ISNUMBER($D17),ISNUMBER('Data 9 Negeri'!H91)),IFERROR(MIN('Data 9 Negeri'!H91/$D17,P_HAD),""),"")</f>
        <v>0.703284721275726</v>
      </c>
      <c r="N17" s="106" t="n">
        <f aca="false">IF(AND($H17="YA",ISNUMBER($D17),ISNUMBER('Data 9 Negeri'!I91)),IFERROR(MIN('Data 9 Negeri'!I91/$D17,P_HAD),""),"")</f>
        <v>0.754395529507973</v>
      </c>
      <c r="O17" s="106" t="n">
        <f aca="false">IF(AND($H17="YA",ISNUMBER($D17),ISNUMBER('Data 9 Negeri'!J91)),IFERROR(MIN('Data 9 Negeri'!J91/$D17,P_HAD),""),"")</f>
        <v>1.69619735586752</v>
      </c>
      <c r="P17" s="106" t="n">
        <f aca="false">IF(AND($H17="YA",ISNUMBER($D17),ISNUMBER('Data 9 Negeri'!K91)),IFERROR(MIN('Data 9 Negeri'!K91/$D17,P_HAD),""),"")</f>
        <v>0.729862341556494</v>
      </c>
      <c r="Q17" s="106" t="n">
        <f aca="false">IF(AND($H17="YA",ISNUMBER($D17),ISNUMBER('Data 9 Negeri'!L91)),IFERROR(MIN('Data 9 Negeri'!L91/$D17,P_HAD),""),"")</f>
        <v>1.11626005179229</v>
      </c>
      <c r="R17" s="106" t="n">
        <f aca="false">IFERROR(AVERAGE(M17:Q17),"")</f>
        <v>1</v>
      </c>
      <c r="S17" s="106" t="n">
        <f aca="false">IFERROR(AVERAGE(I17:L17),"")</f>
        <v>2.16028349461633</v>
      </c>
    </row>
    <row r="18" customFormat="false" ht="19.5" hidden="false" customHeight="true" outlineLevel="0" collapsed="false">
      <c r="A18" s="110" t="s">
        <v>178</v>
      </c>
      <c r="B18" s="111" t="s">
        <v>104</v>
      </c>
      <c r="C18" s="112" t="s">
        <v>105</v>
      </c>
      <c r="D18" s="102" t="n">
        <f aca="false">IF(E18&gt;=P_MINN,AVERAGE('Data 9 Negeri'!H92:L92),"")</f>
        <v>1032.8</v>
      </c>
      <c r="E18" s="103" t="n">
        <f aca="false">COUNT('Data 9 Negeri'!H92:L92)</f>
        <v>5</v>
      </c>
      <c r="F18" s="103" t="n">
        <f aca="false">COUNT('Data 9 Negeri'!D92:G92)</f>
        <v>4</v>
      </c>
      <c r="G18" s="104"/>
      <c r="H18" s="105" t="str">
        <f aca="false">IF(G18&lt;&gt;"",UPPER(TRIM(G18)),IF(AND(E18&gt;=P_MINN,F18=4),"YA","TIDAK"))</f>
        <v>YA</v>
      </c>
      <c r="I18" s="106" t="n">
        <f aca="false">IF(AND($H18="YA",ISNUMBER($D18),ISNUMBER('Data 9 Negeri'!D92)),IFERROR(MIN('Data 9 Negeri'!D92/$D18,P_HAD),""),"")</f>
        <v>6.68667699457785</v>
      </c>
      <c r="J18" s="106" t="n">
        <f aca="false">IF(AND($H18="YA",ISNUMBER($D18),ISNUMBER('Data 9 Negeri'!E92)),IFERROR(MIN('Data 9 Negeri'!E92/$D18,P_HAD),""),"")</f>
        <v>2.47676219984508</v>
      </c>
      <c r="K18" s="106" t="n">
        <f aca="false">IF(AND($H18="YA",ISNUMBER($D18),ISNUMBER('Data 9 Negeri'!F92)),IFERROR(MIN('Data 9 Negeri'!F92/$D18,P_HAD),""),"")</f>
        <v>0.610960495739737</v>
      </c>
      <c r="L18" s="106" t="n">
        <f aca="false">IF(AND($H18="YA",ISNUMBER($D18),ISNUMBER('Data 9 Negeri'!G92)),IFERROR(MIN('Data 9 Negeri'!G92/$D18,P_HAD),""),"")</f>
        <v>1.04473276529822</v>
      </c>
      <c r="M18" s="106" t="n">
        <f aca="false">IF(AND($H18="YA",ISNUMBER($D18),ISNUMBER('Data 9 Negeri'!H92)),IFERROR(MIN('Data 9 Negeri'!H92/$D18,P_HAD),""),"")</f>
        <v>0.361154144074361</v>
      </c>
      <c r="N18" s="106" t="n">
        <f aca="false">IF(AND($H18="YA",ISNUMBER($D18),ISNUMBER('Data 9 Negeri'!I92)),IFERROR(MIN('Data 9 Negeri'!I92/$D18,P_HAD),""),"")</f>
        <v>2.37509682416731</v>
      </c>
      <c r="O18" s="106" t="n">
        <f aca="false">IF(AND($H18="YA",ISNUMBER($D18),ISNUMBER('Data 9 Negeri'!J92)),IFERROR(MIN('Data 9 Negeri'!J92/$D18,P_HAD),""),"")</f>
        <v>0.587722695584818</v>
      </c>
      <c r="P18" s="106" t="n">
        <f aca="false">IF(AND($H18="YA",ISNUMBER($D18),ISNUMBER('Data 9 Negeri'!K92)),IFERROR(MIN('Data 9 Negeri'!K92/$D18,P_HAD),""),"")</f>
        <v>1.06022463206816</v>
      </c>
      <c r="Q18" s="106" t="n">
        <f aca="false">IF(AND($H18="YA",ISNUMBER($D18),ISNUMBER('Data 9 Negeri'!L92)),IFERROR(MIN('Data 9 Negeri'!L92/$D18,P_HAD),""),"")</f>
        <v>0.615801704105345</v>
      </c>
      <c r="R18" s="106" t="n">
        <f aca="false">IFERROR(AVERAGE(M18:Q18),"")</f>
        <v>1</v>
      </c>
      <c r="S18" s="106" t="n">
        <f aca="false">IFERROR(AVERAGE(I18:L18),"")</f>
        <v>2.70478311386522</v>
      </c>
    </row>
    <row r="19" customFormat="false" ht="19.5" hidden="false" customHeight="true" outlineLevel="0" collapsed="false">
      <c r="A19" s="110" t="s">
        <v>179</v>
      </c>
      <c r="B19" s="111" t="s">
        <v>104</v>
      </c>
      <c r="C19" s="112" t="s">
        <v>107</v>
      </c>
      <c r="D19" s="102" t="n">
        <f aca="false">IF(E19&gt;=P_MINN,AVERAGE('Data 9 Negeri'!H93:L93),"")</f>
        <v>2820500</v>
      </c>
      <c r="E19" s="103" t="n">
        <f aca="false">COUNT('Data 9 Negeri'!H93:L93)</f>
        <v>5</v>
      </c>
      <c r="F19" s="103" t="n">
        <f aca="false">COUNT('Data 9 Negeri'!D93:G93)</f>
        <v>4</v>
      </c>
      <c r="G19" s="104"/>
      <c r="H19" s="105" t="str">
        <f aca="false">IF(G19&lt;&gt;"",UPPER(TRIM(G19)),IF(AND(E19&gt;=P_MINN,F19=4),"YA","TIDAK"))</f>
        <v>YA</v>
      </c>
      <c r="I19" s="106" t="n">
        <f aca="false">IF(AND($H19="YA",ISNUMBER($D19),ISNUMBER('Data 9 Negeri'!D93)),IFERROR(MIN('Data 9 Negeri'!D93/$D19,P_HAD),""),"")</f>
        <v>0.889735862435738</v>
      </c>
      <c r="J19" s="106" t="n">
        <f aca="false">IF(AND($H19="YA",ISNUMBER($D19),ISNUMBER('Data 9 Negeri'!E93)),IFERROR(MIN('Data 9 Negeri'!E93/$D19,P_HAD),""),"")</f>
        <v>1.27381669916681</v>
      </c>
      <c r="K19" s="106" t="n">
        <f aca="false">IF(AND($H19="YA",ISNUMBER($D19),ISNUMBER('Data 9 Negeri'!F93)),IFERROR(MIN('Data 9 Negeri'!F93/$D19,P_HAD),""),"")</f>
        <v>1.45396206346392</v>
      </c>
      <c r="L19" s="106" t="n">
        <f aca="false">IF(AND($H19="YA",ISNUMBER($D19),ISNUMBER('Data 9 Negeri'!G93)),IFERROR(MIN('Data 9 Negeri'!G93/$D19,P_HAD),""),"")</f>
        <v>0.90069136677894</v>
      </c>
      <c r="M19" s="106" t="n">
        <f aca="false">IF(AND($H19="YA",ISNUMBER($D19),ISNUMBER('Data 9 Negeri'!H93)),IFERROR(MIN('Data 9 Negeri'!H93/$D19,P_HAD),""),"")</f>
        <v>2.55461797553625</v>
      </c>
      <c r="N19" s="106" t="n">
        <f aca="false">IF(AND($H19="YA",ISNUMBER($D19),ISNUMBER('Data 9 Negeri'!I93)),IFERROR(MIN('Data 9 Negeri'!I93/$D19,P_HAD),""),"")</f>
        <v>0.775571707144123</v>
      </c>
      <c r="O19" s="106" t="n">
        <f aca="false">IF(AND($H19="YA",ISNUMBER($D19),ISNUMBER('Data 9 Negeri'!J93)),IFERROR(MIN('Data 9 Negeri'!J93/$D19,P_HAD),""),"")</f>
        <v>0.582414465520298</v>
      </c>
      <c r="P19" s="106" t="n">
        <f aca="false">IF(AND($H19="YA",ISNUMBER($D19),ISNUMBER('Data 9 Negeri'!K93)),IFERROR(MIN('Data 9 Negeri'!K93/$D19,P_HAD),""),"")</f>
        <v>0.42878922176919</v>
      </c>
      <c r="Q19" s="106" t="n">
        <f aca="false">IF(AND($H19="YA",ISNUMBER($D19),ISNUMBER('Data 9 Negeri'!L93)),IFERROR(MIN('Data 9 Negeri'!L93/$D19,P_HAD),""),"")</f>
        <v>0.658606630030137</v>
      </c>
      <c r="R19" s="106" t="n">
        <f aca="false">IFERROR(AVERAGE(M19:Q19),"")</f>
        <v>1</v>
      </c>
      <c r="S19" s="106" t="n">
        <f aca="false">IFERROR(AVERAGE(I19:L19),"")</f>
        <v>1.12955149796135</v>
      </c>
    </row>
    <row r="20" customFormat="false" ht="19.5" hidden="false" customHeight="true" outlineLevel="0" collapsed="false">
      <c r="A20" s="110" t="s">
        <v>180</v>
      </c>
      <c r="B20" s="111" t="s">
        <v>104</v>
      </c>
      <c r="C20" s="112" t="s">
        <v>109</v>
      </c>
      <c r="D20" s="102" t="n">
        <f aca="false">IF(E20&gt;=P_MINN,AVERAGE('Data 9 Negeri'!H94:L94),"")</f>
        <v>93</v>
      </c>
      <c r="E20" s="103" t="n">
        <f aca="false">COUNT('Data 9 Negeri'!H94:L94)</f>
        <v>3</v>
      </c>
      <c r="F20" s="103" t="n">
        <f aca="false">COUNT('Data 9 Negeri'!D94:G94)</f>
        <v>4</v>
      </c>
      <c r="G20" s="104"/>
      <c r="H20" s="105" t="str">
        <f aca="false">IF(G20&lt;&gt;"",UPPER(TRIM(G20)),IF(AND(E20&gt;=P_MINN,F20=4),"YA","TIDAK"))</f>
        <v>YA</v>
      </c>
      <c r="I20" s="106" t="n">
        <f aca="false">IF(AND($H20="YA",ISNUMBER($D20),ISNUMBER('Data 9 Negeri'!D94)),IFERROR(MIN('Data 9 Negeri'!D94/$D20,P_HAD),""),"")</f>
        <v>4.10752688172043</v>
      </c>
      <c r="J20" s="106" t="n">
        <f aca="false">IF(AND($H20="YA",ISNUMBER($D20),ISNUMBER('Data 9 Negeri'!E94)),IFERROR(MIN('Data 9 Negeri'!E94/$D20,P_HAD),""),"")</f>
        <v>2.35483870967742</v>
      </c>
      <c r="K20" s="106" t="n">
        <f aca="false">IF(AND($H20="YA",ISNUMBER($D20),ISNUMBER('Data 9 Negeri'!F94)),IFERROR(MIN('Data 9 Negeri'!F94/$D20,P_HAD),""),"")</f>
        <v>2.33333333333333</v>
      </c>
      <c r="L20" s="106" t="n">
        <f aca="false">IF(AND($H20="YA",ISNUMBER($D20),ISNUMBER('Data 9 Negeri'!G94)),IFERROR(MIN('Data 9 Negeri'!G94/$D20,P_HAD),""),"")</f>
        <v>1.88172043010753</v>
      </c>
      <c r="M20" s="106" t="n">
        <f aca="false">IF(AND($H20="YA",ISNUMBER($D20),ISNUMBER('Data 9 Negeri'!H94)),IFERROR(MIN('Data 9 Negeri'!H94/$D20,P_HAD),""),"")</f>
        <v>1.09677419354839</v>
      </c>
      <c r="N20" s="106" t="str">
        <f aca="false">IF(AND($H20="YA",ISNUMBER($D20),ISNUMBER('Data 9 Negeri'!I94)),IFERROR(MIN('Data 9 Negeri'!I94/$D20,P_HAD),""),"")</f>
        <v/>
      </c>
      <c r="O20" s="106" t="str">
        <f aca="false">IF(AND($H20="YA",ISNUMBER($D20),ISNUMBER('Data 9 Negeri'!J94)),IFERROR(MIN('Data 9 Negeri'!J94/$D20,P_HAD),""),"")</f>
        <v/>
      </c>
      <c r="P20" s="106" t="n">
        <f aca="false">IF(AND($H20="YA",ISNUMBER($D20),ISNUMBER('Data 9 Negeri'!K94)),IFERROR(MIN('Data 9 Negeri'!K94/$D20,P_HAD),""),"")</f>
        <v>0.580645161290323</v>
      </c>
      <c r="Q20" s="106" t="n">
        <f aca="false">IF(AND($H20="YA",ISNUMBER($D20),ISNUMBER('Data 9 Negeri'!L94)),IFERROR(MIN('Data 9 Negeri'!L94/$D20,P_HAD),""),"")</f>
        <v>1.32258064516129</v>
      </c>
      <c r="R20" s="106" t="n">
        <f aca="false">IFERROR(AVERAGE(M20:Q20),"")</f>
        <v>1</v>
      </c>
      <c r="S20" s="106" t="n">
        <f aca="false">IFERROR(AVERAGE(I20:L20),"")</f>
        <v>2.66935483870968</v>
      </c>
    </row>
    <row r="21" customFormat="false" ht="19.5" hidden="false" customHeight="true" outlineLevel="0" collapsed="false">
      <c r="A21" s="110" t="s">
        <v>181</v>
      </c>
      <c r="B21" s="111" t="s">
        <v>104</v>
      </c>
      <c r="C21" s="112" t="s">
        <v>101</v>
      </c>
      <c r="D21" s="102" t="str">
        <f aca="false">IF(E21&gt;=P_MINN,AVERAGE('Data 9 Negeri'!H95:L95),"")</f>
        <v/>
      </c>
      <c r="E21" s="103" t="n">
        <f aca="false">COUNT('Data 9 Negeri'!H95:L95)</f>
        <v>2</v>
      </c>
      <c r="F21" s="103" t="n">
        <f aca="false">COUNT('Data 9 Negeri'!D95:G95)</f>
        <v>4</v>
      </c>
      <c r="G21" s="104"/>
      <c r="H21" s="105" t="str">
        <f aca="false">IF(G21&lt;&gt;"",UPPER(TRIM(G21)),IF(AND(E21&gt;=P_MINN,F21=4),"YA","TIDAK"))</f>
        <v>TIDAK</v>
      </c>
      <c r="I21" s="106" t="str">
        <f aca="false">IF(AND($H21="YA",ISNUMBER($D21),ISNUMBER('Data 9 Negeri'!D95)),IFERROR(MIN('Data 9 Negeri'!D95/$D21,P_HAD),""),"")</f>
        <v/>
      </c>
      <c r="J21" s="106" t="str">
        <f aca="false">IF(AND($H21="YA",ISNUMBER($D21),ISNUMBER('Data 9 Negeri'!E95)),IFERROR(MIN('Data 9 Negeri'!E95/$D21,P_HAD),""),"")</f>
        <v/>
      </c>
      <c r="K21" s="106" t="str">
        <f aca="false">IF(AND($H21="YA",ISNUMBER($D21),ISNUMBER('Data 9 Negeri'!F95)),IFERROR(MIN('Data 9 Negeri'!F95/$D21,P_HAD),""),"")</f>
        <v/>
      </c>
      <c r="L21" s="106" t="str">
        <f aca="false">IF(AND($H21="YA",ISNUMBER($D21),ISNUMBER('Data 9 Negeri'!G95)),IFERROR(MIN('Data 9 Negeri'!G95/$D21,P_HAD),""),"")</f>
        <v/>
      </c>
      <c r="M21" s="106" t="str">
        <f aca="false">IF(AND($H21="YA",ISNUMBER($D21),ISNUMBER('Data 9 Negeri'!H95)),IFERROR(MIN('Data 9 Negeri'!H95/$D21,P_HAD),""),"")</f>
        <v/>
      </c>
      <c r="N21" s="106" t="str">
        <f aca="false">IF(AND($H21="YA",ISNUMBER($D21),ISNUMBER('Data 9 Negeri'!I95)),IFERROR(MIN('Data 9 Negeri'!I95/$D21,P_HAD),""),"")</f>
        <v/>
      </c>
      <c r="O21" s="106" t="str">
        <f aca="false">IF(AND($H21="YA",ISNUMBER($D21),ISNUMBER('Data 9 Negeri'!J95)),IFERROR(MIN('Data 9 Negeri'!J95/$D21,P_HAD),""),"")</f>
        <v/>
      </c>
      <c r="P21" s="106" t="str">
        <f aca="false">IF(AND($H21="YA",ISNUMBER($D21),ISNUMBER('Data 9 Negeri'!K95)),IFERROR(MIN('Data 9 Negeri'!K95/$D21,P_HAD),""),"")</f>
        <v/>
      </c>
      <c r="Q21" s="106" t="str">
        <f aca="false">IF(AND($H21="YA",ISNUMBER($D21),ISNUMBER('Data 9 Negeri'!L95)),IFERROR(MIN('Data 9 Negeri'!L95/$D21,P_HAD),""),"")</f>
        <v/>
      </c>
      <c r="R21" s="106" t="str">
        <f aca="false">IFERROR(AVERAGE(M21:Q21),"")</f>
        <v/>
      </c>
      <c r="S21" s="106" t="str">
        <f aca="false">IFERROR(AVERAGE(I21:L21),"")</f>
        <v/>
      </c>
    </row>
    <row r="22" customFormat="false" ht="19.5" hidden="false" customHeight="true" outlineLevel="0" collapsed="false">
      <c r="A22" s="113" t="s">
        <v>182</v>
      </c>
      <c r="B22" s="114" t="s">
        <v>114</v>
      </c>
      <c r="C22" s="115" t="s">
        <v>115</v>
      </c>
      <c r="D22" s="102" t="str">
        <f aca="false">IF(E22&gt;=P_MINN,AVERAGE('Data 9 Negeri'!H96:L96),"")</f>
        <v/>
      </c>
      <c r="E22" s="103" t="n">
        <f aca="false">COUNT('Data 9 Negeri'!H96:L96)</f>
        <v>1</v>
      </c>
      <c r="F22" s="103" t="n">
        <f aca="false">COUNT('Data 9 Negeri'!D96:G96)</f>
        <v>3</v>
      </c>
      <c r="G22" s="104"/>
      <c r="H22" s="105" t="str">
        <f aca="false">IF(G22&lt;&gt;"",UPPER(TRIM(G22)),IF(AND(E22&gt;=P_MINN,F22=4),"YA","TIDAK"))</f>
        <v>TIDAK</v>
      </c>
      <c r="I22" s="106" t="str">
        <f aca="false">IF(AND($H22="YA",ISNUMBER($D22),ISNUMBER('Data 9 Negeri'!D96)),IFERROR(MIN('Data 9 Negeri'!D96/$D22,P_HAD),""),"")</f>
        <v/>
      </c>
      <c r="J22" s="106" t="str">
        <f aca="false">IF(AND($H22="YA",ISNUMBER($D22),ISNUMBER('Data 9 Negeri'!E96)),IFERROR(MIN('Data 9 Negeri'!E96/$D22,P_HAD),""),"")</f>
        <v/>
      </c>
      <c r="K22" s="106" t="str">
        <f aca="false">IF(AND($H22="YA",ISNUMBER($D22),ISNUMBER('Data 9 Negeri'!F96)),IFERROR(MIN('Data 9 Negeri'!F96/$D22,P_HAD),""),"")</f>
        <v/>
      </c>
      <c r="L22" s="106" t="str">
        <f aca="false">IF(AND($H22="YA",ISNUMBER($D22),ISNUMBER('Data 9 Negeri'!G96)),IFERROR(MIN('Data 9 Negeri'!G96/$D22,P_HAD),""),"")</f>
        <v/>
      </c>
      <c r="M22" s="106" t="str">
        <f aca="false">IF(AND($H22="YA",ISNUMBER($D22),ISNUMBER('Data 9 Negeri'!H96)),IFERROR(MIN('Data 9 Negeri'!H96/$D22,P_HAD),""),"")</f>
        <v/>
      </c>
      <c r="N22" s="106" t="str">
        <f aca="false">IF(AND($H22="YA",ISNUMBER($D22),ISNUMBER('Data 9 Negeri'!I96)),IFERROR(MIN('Data 9 Negeri'!I96/$D22,P_HAD),""),"")</f>
        <v/>
      </c>
      <c r="O22" s="106" t="str">
        <f aca="false">IF(AND($H22="YA",ISNUMBER($D22),ISNUMBER('Data 9 Negeri'!J96)),IFERROR(MIN('Data 9 Negeri'!J96/$D22,P_HAD),""),"")</f>
        <v/>
      </c>
      <c r="P22" s="106" t="str">
        <f aca="false">IF(AND($H22="YA",ISNUMBER($D22),ISNUMBER('Data 9 Negeri'!K96)),IFERROR(MIN('Data 9 Negeri'!K96/$D22,P_HAD),""),"")</f>
        <v/>
      </c>
      <c r="Q22" s="106" t="str">
        <f aca="false">IF(AND($H22="YA",ISNUMBER($D22),ISNUMBER('Data 9 Negeri'!L96)),IFERROR(MIN('Data 9 Negeri'!L96/$D22,P_HAD),""),"")</f>
        <v/>
      </c>
      <c r="R22" s="106" t="str">
        <f aca="false">IFERROR(AVERAGE(M22:Q22),"")</f>
        <v/>
      </c>
      <c r="S22" s="106" t="str">
        <f aca="false">IFERROR(AVERAGE(I22:L22),"")</f>
        <v/>
      </c>
    </row>
    <row r="23" customFormat="false" ht="19.5" hidden="false" customHeight="true" outlineLevel="0" collapsed="false">
      <c r="A23" s="113" t="s">
        <v>183</v>
      </c>
      <c r="B23" s="114" t="s">
        <v>114</v>
      </c>
      <c r="C23" s="115" t="s">
        <v>118</v>
      </c>
      <c r="D23" s="102" t="str">
        <f aca="false">IF(E23&gt;=P_MINN,AVERAGE('Data 9 Negeri'!H97:L97),"")</f>
        <v/>
      </c>
      <c r="E23" s="103" t="n">
        <f aca="false">COUNT('Data 9 Negeri'!H97:L97)</f>
        <v>2</v>
      </c>
      <c r="F23" s="103" t="n">
        <f aca="false">COUNT('Data 9 Negeri'!D97:G97)</f>
        <v>3</v>
      </c>
      <c r="G23" s="104"/>
      <c r="H23" s="105" t="str">
        <f aca="false">IF(G23&lt;&gt;"",UPPER(TRIM(G23)),IF(AND(E23&gt;=P_MINN,F23=4),"YA","TIDAK"))</f>
        <v>TIDAK</v>
      </c>
      <c r="I23" s="106" t="str">
        <f aca="false">IF(AND($H23="YA",ISNUMBER($D23),ISNUMBER('Data 9 Negeri'!D97)),IFERROR(MIN('Data 9 Negeri'!D97/$D23,P_HAD),""),"")</f>
        <v/>
      </c>
      <c r="J23" s="106" t="str">
        <f aca="false">IF(AND($H23="YA",ISNUMBER($D23),ISNUMBER('Data 9 Negeri'!E97)),IFERROR(MIN('Data 9 Negeri'!E97/$D23,P_HAD),""),"")</f>
        <v/>
      </c>
      <c r="K23" s="106" t="str">
        <f aca="false">IF(AND($H23="YA",ISNUMBER($D23),ISNUMBER('Data 9 Negeri'!F97)),IFERROR(MIN('Data 9 Negeri'!F97/$D23,P_HAD),""),"")</f>
        <v/>
      </c>
      <c r="L23" s="106" t="str">
        <f aca="false">IF(AND($H23="YA",ISNUMBER($D23),ISNUMBER('Data 9 Negeri'!G97)),IFERROR(MIN('Data 9 Negeri'!G97/$D23,P_HAD),""),"")</f>
        <v/>
      </c>
      <c r="M23" s="106" t="str">
        <f aca="false">IF(AND($H23="YA",ISNUMBER($D23),ISNUMBER('Data 9 Negeri'!H97)),IFERROR(MIN('Data 9 Negeri'!H97/$D23,P_HAD),""),"")</f>
        <v/>
      </c>
      <c r="N23" s="106" t="str">
        <f aca="false">IF(AND($H23="YA",ISNUMBER($D23),ISNUMBER('Data 9 Negeri'!I97)),IFERROR(MIN('Data 9 Negeri'!I97/$D23,P_HAD),""),"")</f>
        <v/>
      </c>
      <c r="O23" s="106" t="str">
        <f aca="false">IF(AND($H23="YA",ISNUMBER($D23),ISNUMBER('Data 9 Negeri'!J97)),IFERROR(MIN('Data 9 Negeri'!J97/$D23,P_HAD),""),"")</f>
        <v/>
      </c>
      <c r="P23" s="106" t="str">
        <f aca="false">IF(AND($H23="YA",ISNUMBER($D23),ISNUMBER('Data 9 Negeri'!K97)),IFERROR(MIN('Data 9 Negeri'!K97/$D23,P_HAD),""),"")</f>
        <v/>
      </c>
      <c r="Q23" s="106" t="str">
        <f aca="false">IF(AND($H23="YA",ISNUMBER($D23),ISNUMBER('Data 9 Negeri'!L97)),IFERROR(MIN('Data 9 Negeri'!L97/$D23,P_HAD),""),"")</f>
        <v/>
      </c>
      <c r="R23" s="106" t="str">
        <f aca="false">IFERROR(AVERAGE(M23:Q23),"")</f>
        <v/>
      </c>
      <c r="S23" s="106" t="str">
        <f aca="false">IFERROR(AVERAGE(I23:L23),"")</f>
        <v/>
      </c>
    </row>
    <row r="24" customFormat="false" ht="19.5" hidden="false" customHeight="true" outlineLevel="0" collapsed="false">
      <c r="A24" s="113" t="s">
        <v>184</v>
      </c>
      <c r="B24" s="114" t="s">
        <v>114</v>
      </c>
      <c r="C24" s="115" t="s">
        <v>121</v>
      </c>
      <c r="D24" s="102" t="str">
        <f aca="false">IF(E24&gt;=P_MINN,AVERAGE('Data 9 Negeri'!H98:L98),"")</f>
        <v/>
      </c>
      <c r="E24" s="103" t="n">
        <f aca="false">COUNT('Data 9 Negeri'!H98:L98)</f>
        <v>2</v>
      </c>
      <c r="F24" s="103" t="n">
        <f aca="false">COUNT('Data 9 Negeri'!D98:G98)</f>
        <v>4</v>
      </c>
      <c r="G24" s="104"/>
      <c r="H24" s="105" t="str">
        <f aca="false">IF(G24&lt;&gt;"",UPPER(TRIM(G24)),IF(AND(E24&gt;=P_MINN,F24=4),"YA","TIDAK"))</f>
        <v>TIDAK</v>
      </c>
      <c r="I24" s="106" t="str">
        <f aca="false">IF(AND($H24="YA",ISNUMBER($D24),ISNUMBER('Data 9 Negeri'!D98)),IFERROR(MIN('Data 9 Negeri'!D98/$D24,P_HAD),""),"")</f>
        <v/>
      </c>
      <c r="J24" s="106" t="str">
        <f aca="false">IF(AND($H24="YA",ISNUMBER($D24),ISNUMBER('Data 9 Negeri'!E98)),IFERROR(MIN('Data 9 Negeri'!E98/$D24,P_HAD),""),"")</f>
        <v/>
      </c>
      <c r="K24" s="106" t="str">
        <f aca="false">IF(AND($H24="YA",ISNUMBER($D24),ISNUMBER('Data 9 Negeri'!F98)),IFERROR(MIN('Data 9 Negeri'!F98/$D24,P_HAD),""),"")</f>
        <v/>
      </c>
      <c r="L24" s="106" t="str">
        <f aca="false">IF(AND($H24="YA",ISNUMBER($D24),ISNUMBER('Data 9 Negeri'!G98)),IFERROR(MIN('Data 9 Negeri'!G98/$D24,P_HAD),""),"")</f>
        <v/>
      </c>
      <c r="M24" s="106" t="str">
        <f aca="false">IF(AND($H24="YA",ISNUMBER($D24),ISNUMBER('Data 9 Negeri'!H98)),IFERROR(MIN('Data 9 Negeri'!H98/$D24,P_HAD),""),"")</f>
        <v/>
      </c>
      <c r="N24" s="106" t="str">
        <f aca="false">IF(AND($H24="YA",ISNUMBER($D24),ISNUMBER('Data 9 Negeri'!I98)),IFERROR(MIN('Data 9 Negeri'!I98/$D24,P_HAD),""),"")</f>
        <v/>
      </c>
      <c r="O24" s="106" t="str">
        <f aca="false">IF(AND($H24="YA",ISNUMBER($D24),ISNUMBER('Data 9 Negeri'!J98)),IFERROR(MIN('Data 9 Negeri'!J98/$D24,P_HAD),""),"")</f>
        <v/>
      </c>
      <c r="P24" s="106" t="str">
        <f aca="false">IF(AND($H24="YA",ISNUMBER($D24),ISNUMBER('Data 9 Negeri'!K98)),IFERROR(MIN('Data 9 Negeri'!K98/$D24,P_HAD),""),"")</f>
        <v/>
      </c>
      <c r="Q24" s="106" t="str">
        <f aca="false">IF(AND($H24="YA",ISNUMBER($D24),ISNUMBER('Data 9 Negeri'!L98)),IFERROR(MIN('Data 9 Negeri'!L98/$D24,P_HAD),""),"")</f>
        <v/>
      </c>
      <c r="R24" s="106" t="str">
        <f aca="false">IFERROR(AVERAGE(M24:Q24),"")</f>
        <v/>
      </c>
      <c r="S24" s="106" t="str">
        <f aca="false">IFERROR(AVERAGE(I24:L24),"")</f>
        <v/>
      </c>
    </row>
    <row r="25" customFormat="false" ht="19.5" hidden="false" customHeight="true" outlineLevel="0" collapsed="false">
      <c r="A25" s="113" t="s">
        <v>185</v>
      </c>
      <c r="B25" s="114" t="s">
        <v>114</v>
      </c>
      <c r="C25" s="115" t="s">
        <v>124</v>
      </c>
      <c r="D25" s="102" t="str">
        <f aca="false">IF(E25&gt;=P_MINN,AVERAGE('Data 9 Negeri'!H99:L99),"")</f>
        <v/>
      </c>
      <c r="E25" s="103" t="n">
        <f aca="false">COUNT('Data 9 Negeri'!H99:L99)</f>
        <v>2</v>
      </c>
      <c r="F25" s="103" t="n">
        <f aca="false">COUNT('Data 9 Negeri'!D99:G99)</f>
        <v>4</v>
      </c>
      <c r="G25" s="104"/>
      <c r="H25" s="105" t="str">
        <f aca="false">IF(G25&lt;&gt;"",UPPER(TRIM(G25)),IF(AND(E25&gt;=P_MINN,F25=4),"YA","TIDAK"))</f>
        <v>TIDAK</v>
      </c>
      <c r="I25" s="106" t="str">
        <f aca="false">IF(AND($H25="YA",ISNUMBER($D25),ISNUMBER('Data 9 Negeri'!D99)),IFERROR(MIN('Data 9 Negeri'!D99/$D25,P_HAD),""),"")</f>
        <v/>
      </c>
      <c r="J25" s="106" t="str">
        <f aca="false">IF(AND($H25="YA",ISNUMBER($D25),ISNUMBER('Data 9 Negeri'!E99)),IFERROR(MIN('Data 9 Negeri'!E99/$D25,P_HAD),""),"")</f>
        <v/>
      </c>
      <c r="K25" s="106" t="str">
        <f aca="false">IF(AND($H25="YA",ISNUMBER($D25),ISNUMBER('Data 9 Negeri'!F99)),IFERROR(MIN('Data 9 Negeri'!F99/$D25,P_HAD),""),"")</f>
        <v/>
      </c>
      <c r="L25" s="106" t="str">
        <f aca="false">IF(AND($H25="YA",ISNUMBER($D25),ISNUMBER('Data 9 Negeri'!G99)),IFERROR(MIN('Data 9 Negeri'!G99/$D25,P_HAD),""),"")</f>
        <v/>
      </c>
      <c r="M25" s="106" t="str">
        <f aca="false">IF(AND($H25="YA",ISNUMBER($D25),ISNUMBER('Data 9 Negeri'!H99)),IFERROR(MIN('Data 9 Negeri'!H99/$D25,P_HAD),""),"")</f>
        <v/>
      </c>
      <c r="N25" s="106" t="str">
        <f aca="false">IF(AND($H25="YA",ISNUMBER($D25),ISNUMBER('Data 9 Negeri'!I99)),IFERROR(MIN('Data 9 Negeri'!I99/$D25,P_HAD),""),"")</f>
        <v/>
      </c>
      <c r="O25" s="106" t="str">
        <f aca="false">IF(AND($H25="YA",ISNUMBER($D25),ISNUMBER('Data 9 Negeri'!J99)),IFERROR(MIN('Data 9 Negeri'!J99/$D25,P_HAD),""),"")</f>
        <v/>
      </c>
      <c r="P25" s="106" t="str">
        <f aca="false">IF(AND($H25="YA",ISNUMBER($D25),ISNUMBER('Data 9 Negeri'!K99)),IFERROR(MIN('Data 9 Negeri'!K99/$D25,P_HAD),""),"")</f>
        <v/>
      </c>
      <c r="Q25" s="106" t="str">
        <f aca="false">IF(AND($H25="YA",ISNUMBER($D25),ISNUMBER('Data 9 Negeri'!L99)),IFERROR(MIN('Data 9 Negeri'!L99/$D25,P_HAD),""),"")</f>
        <v/>
      </c>
      <c r="R25" s="106" t="str">
        <f aca="false">IFERROR(AVERAGE(M25:Q25),"")</f>
        <v/>
      </c>
      <c r="S25" s="106" t="str">
        <f aca="false">IFERROR(AVERAGE(I25:L25),"")</f>
        <v/>
      </c>
    </row>
    <row r="26" customFormat="false" ht="19.5" hidden="false" customHeight="true" outlineLevel="0" collapsed="false">
      <c r="A26" s="113" t="s">
        <v>186</v>
      </c>
      <c r="B26" s="114" t="s">
        <v>114</v>
      </c>
      <c r="C26" s="115" t="s">
        <v>127</v>
      </c>
      <c r="D26" s="102" t="str">
        <f aca="false">IF(E26&gt;=P_MINN,AVERAGE('Data 9 Negeri'!H100:L100),"")</f>
        <v/>
      </c>
      <c r="E26" s="103" t="n">
        <f aca="false">COUNT('Data 9 Negeri'!H100:L100)</f>
        <v>1</v>
      </c>
      <c r="F26" s="103" t="n">
        <f aca="false">COUNT('Data 9 Negeri'!D100:G100)</f>
        <v>4</v>
      </c>
      <c r="G26" s="104"/>
      <c r="H26" s="105" t="str">
        <f aca="false">IF(G26&lt;&gt;"",UPPER(TRIM(G26)),IF(AND(E26&gt;=P_MINN,F26=4),"YA","TIDAK"))</f>
        <v>TIDAK</v>
      </c>
      <c r="I26" s="106" t="str">
        <f aca="false">IF(AND($H26="YA",ISNUMBER($D26),ISNUMBER('Data 9 Negeri'!D100)),IFERROR(MIN('Data 9 Negeri'!D100/$D26,P_HAD),""),"")</f>
        <v/>
      </c>
      <c r="J26" s="106" t="str">
        <f aca="false">IF(AND($H26="YA",ISNUMBER($D26),ISNUMBER('Data 9 Negeri'!E100)),IFERROR(MIN('Data 9 Negeri'!E100/$D26,P_HAD),""),"")</f>
        <v/>
      </c>
      <c r="K26" s="106" t="str">
        <f aca="false">IF(AND($H26="YA",ISNUMBER($D26),ISNUMBER('Data 9 Negeri'!F100)),IFERROR(MIN('Data 9 Negeri'!F100/$D26,P_HAD),""),"")</f>
        <v/>
      </c>
      <c r="L26" s="106" t="str">
        <f aca="false">IF(AND($H26="YA",ISNUMBER($D26),ISNUMBER('Data 9 Negeri'!G100)),IFERROR(MIN('Data 9 Negeri'!G100/$D26,P_HAD),""),"")</f>
        <v/>
      </c>
      <c r="M26" s="106" t="str">
        <f aca="false">IF(AND($H26="YA",ISNUMBER($D26),ISNUMBER('Data 9 Negeri'!H100)),IFERROR(MIN('Data 9 Negeri'!H100/$D26,P_HAD),""),"")</f>
        <v/>
      </c>
      <c r="N26" s="106" t="str">
        <f aca="false">IF(AND($H26="YA",ISNUMBER($D26),ISNUMBER('Data 9 Negeri'!I100)),IFERROR(MIN('Data 9 Negeri'!I100/$D26,P_HAD),""),"")</f>
        <v/>
      </c>
      <c r="O26" s="106" t="str">
        <f aca="false">IF(AND($H26="YA",ISNUMBER($D26),ISNUMBER('Data 9 Negeri'!J100)),IFERROR(MIN('Data 9 Negeri'!J100/$D26,P_HAD),""),"")</f>
        <v/>
      </c>
      <c r="P26" s="106" t="str">
        <f aca="false">IF(AND($H26="YA",ISNUMBER($D26),ISNUMBER('Data 9 Negeri'!K100)),IFERROR(MIN('Data 9 Negeri'!K100/$D26,P_HAD),""),"")</f>
        <v/>
      </c>
      <c r="Q26" s="106" t="str">
        <f aca="false">IF(AND($H26="YA",ISNUMBER($D26),ISNUMBER('Data 9 Negeri'!L100)),IFERROR(MIN('Data 9 Negeri'!L100/$D26,P_HAD),""),"")</f>
        <v/>
      </c>
      <c r="R26" s="106" t="str">
        <f aca="false">IFERROR(AVERAGE(M26:Q26),"")</f>
        <v/>
      </c>
      <c r="S26" s="106" t="str">
        <f aca="false">IFERROR(AVERAGE(I26:L26),"")</f>
        <v/>
      </c>
    </row>
    <row r="27" customFormat="false" ht="19.5" hidden="false" customHeight="true" outlineLevel="0" collapsed="false">
      <c r="A27" s="113" t="s">
        <v>187</v>
      </c>
      <c r="B27" s="114" t="s">
        <v>114</v>
      </c>
      <c r="C27" s="115" t="s">
        <v>130</v>
      </c>
      <c r="D27" s="102" t="n">
        <f aca="false">IF(E27&gt;=P_MINN,AVERAGE('Data 9 Negeri'!H101:L101),"")</f>
        <v>200.4</v>
      </c>
      <c r="E27" s="103" t="n">
        <f aca="false">COUNT('Data 9 Negeri'!H101:L101)</f>
        <v>5</v>
      </c>
      <c r="F27" s="103" t="n">
        <f aca="false">COUNT('Data 9 Negeri'!D101:G101)</f>
        <v>4</v>
      </c>
      <c r="G27" s="104"/>
      <c r="H27" s="105" t="str">
        <f aca="false">IF(G27&lt;&gt;"",UPPER(TRIM(G27)),IF(AND(E27&gt;=P_MINN,F27=4),"YA","TIDAK"))</f>
        <v>YA</v>
      </c>
      <c r="I27" s="106" t="n">
        <f aca="false">IF(AND($H27="YA",ISNUMBER($D27),ISNUMBER('Data 9 Negeri'!D101)),IFERROR(MIN('Data 9 Negeri'!D101/$D27,P_HAD),""),"")</f>
        <v>2.52994011976048</v>
      </c>
      <c r="J27" s="106" t="n">
        <f aca="false">IF(AND($H27="YA",ISNUMBER($D27),ISNUMBER('Data 9 Negeri'!E101)),IFERROR(MIN('Data 9 Negeri'!E101/$D27,P_HAD),""),"")</f>
        <v>1.01796407185629</v>
      </c>
      <c r="K27" s="106" t="n">
        <f aca="false">IF(AND($H27="YA",ISNUMBER($D27),ISNUMBER('Data 9 Negeri'!F101)),IFERROR(MIN('Data 9 Negeri'!F101/$D27,P_HAD),""),"")</f>
        <v>0.229540918163673</v>
      </c>
      <c r="L27" s="106" t="n">
        <f aca="false">IF(AND($H27="YA",ISNUMBER($D27),ISNUMBER('Data 9 Negeri'!G101)),IFERROR(MIN('Data 9 Negeri'!G101/$D27,P_HAD),""),"")</f>
        <v>2.24550898203593</v>
      </c>
      <c r="M27" s="106" t="n">
        <f aca="false">IF(AND($H27="YA",ISNUMBER($D27),ISNUMBER('Data 9 Negeri'!H101)),IFERROR(MIN('Data 9 Negeri'!H101/$D27,P_HAD),""),"")</f>
        <v>1.3872255489022</v>
      </c>
      <c r="N27" s="106" t="n">
        <f aca="false">IF(AND($H27="YA",ISNUMBER($D27),ISNUMBER('Data 9 Negeri'!I101)),IFERROR(MIN('Data 9 Negeri'!I101/$D27,P_HAD),""),"")</f>
        <v>1.24750499001996</v>
      </c>
      <c r="O27" s="106" t="n">
        <f aca="false">IF(AND($H27="YA",ISNUMBER($D27),ISNUMBER('Data 9 Negeri'!J101)),IFERROR(MIN('Data 9 Negeri'!J101/$D27,P_HAD),""),"")</f>
        <v>1.29241516966068</v>
      </c>
      <c r="P27" s="106" t="n">
        <f aca="false">IF(AND($H27="YA",ISNUMBER($D27),ISNUMBER('Data 9 Negeri'!K101)),IFERROR(MIN('Data 9 Negeri'!K101/$D27,P_HAD),""),"")</f>
        <v>0.918163672654691</v>
      </c>
      <c r="Q27" s="106" t="n">
        <f aca="false">IF(AND($H27="YA",ISNUMBER($D27),ISNUMBER('Data 9 Negeri'!L101)),IFERROR(MIN('Data 9 Negeri'!L101/$D27,P_HAD),""),"")</f>
        <v>0.154690618762475</v>
      </c>
      <c r="R27" s="106" t="n">
        <f aca="false">IFERROR(AVERAGE(M27:Q27),"")</f>
        <v>1</v>
      </c>
      <c r="S27" s="106" t="n">
        <f aca="false">IFERROR(AVERAGE(I27:L27),"")</f>
        <v>1.50573852295409</v>
      </c>
    </row>
    <row r="28" customFormat="false" ht="19.5" hidden="false" customHeight="true" outlineLevel="0" collapsed="false">
      <c r="A28" s="113" t="s">
        <v>188</v>
      </c>
      <c r="B28" s="114" t="s">
        <v>114</v>
      </c>
      <c r="C28" s="115" t="s">
        <v>133</v>
      </c>
      <c r="D28" s="102" t="n">
        <f aca="false">IF(E28&gt;=P_MINN,AVERAGE('Data 9 Negeri'!H102:L102),"")</f>
        <v>1179.4</v>
      </c>
      <c r="E28" s="103" t="n">
        <f aca="false">COUNT('Data 9 Negeri'!H102:L102)</f>
        <v>5</v>
      </c>
      <c r="F28" s="103" t="n">
        <f aca="false">COUNT('Data 9 Negeri'!D102:G102)</f>
        <v>4</v>
      </c>
      <c r="G28" s="104"/>
      <c r="H28" s="105" t="str">
        <f aca="false">IF(G28&lt;&gt;"",UPPER(TRIM(G28)),IF(AND(E28&gt;=P_MINN,F28=4),"YA","TIDAK"))</f>
        <v>YA</v>
      </c>
      <c r="I28" s="106" t="n">
        <f aca="false">IF(AND($H28="YA",ISNUMBER($D28),ISNUMBER('Data 9 Negeri'!D102)),IFERROR(MIN('Data 9 Negeri'!D102/$D28,P_HAD),""),"")</f>
        <v>1.72290995421401</v>
      </c>
      <c r="J28" s="106" t="n">
        <f aca="false">IF(AND($H28="YA",ISNUMBER($D28),ISNUMBER('Data 9 Negeri'!E102)),IFERROR(MIN('Data 9 Negeri'!E102/$D28,P_HAD),""),"")</f>
        <v>1.81956927251145</v>
      </c>
      <c r="K28" s="106" t="n">
        <f aca="false">IF(AND($H28="YA",ISNUMBER($D28),ISNUMBER('Data 9 Negeri'!F102)),IFERROR(MIN('Data 9 Negeri'!F102/$D28,P_HAD),""),"")</f>
        <v>1.27861624554858</v>
      </c>
      <c r="L28" s="106" t="n">
        <f aca="false">IF(AND($H28="YA",ISNUMBER($D28),ISNUMBER('Data 9 Negeri'!G102)),IFERROR(MIN('Data 9 Negeri'!G102/$D28,P_HAD),""),"")</f>
        <v>1.03696794980499</v>
      </c>
      <c r="M28" s="106" t="n">
        <f aca="false">IF(AND($H28="YA",ISNUMBER($D28),ISNUMBER('Data 9 Negeri'!H102)),IFERROR(MIN('Data 9 Negeri'!H102/$D28,P_HAD),""),"")</f>
        <v>1.12599626928947</v>
      </c>
      <c r="N28" s="106" t="n">
        <f aca="false">IF(AND($H28="YA",ISNUMBER($D28),ISNUMBER('Data 9 Negeri'!I102)),IFERROR(MIN('Data 9 Negeri'!I102/$D28,P_HAD),""),"")</f>
        <v>0.9827030693573</v>
      </c>
      <c r="O28" s="106" t="n">
        <f aca="false">IF(AND($H28="YA",ISNUMBER($D28),ISNUMBER('Data 9 Negeri'!J102)),IFERROR(MIN('Data 9 Negeri'!J102/$D28,P_HAD),""),"")</f>
        <v>1.00644395455316</v>
      </c>
      <c r="P28" s="106" t="n">
        <f aca="false">IF(AND($H28="YA",ISNUMBER($D28),ISNUMBER('Data 9 Negeri'!K102)),IFERROR(MIN('Data 9 Negeri'!K102/$D28,P_HAD),""),"")</f>
        <v>1.11327793793454</v>
      </c>
      <c r="Q28" s="106" t="n">
        <f aca="false">IF(AND($H28="YA",ISNUMBER($D28),ISNUMBER('Data 9 Negeri'!L102)),IFERROR(MIN('Data 9 Negeri'!L102/$D28,P_HAD),""),"")</f>
        <v>0.771578768865525</v>
      </c>
      <c r="R28" s="106" t="n">
        <f aca="false">IFERROR(AVERAGE(M28:Q28),"")</f>
        <v>1</v>
      </c>
      <c r="S28" s="106" t="n">
        <f aca="false">IFERROR(AVERAGE(I28:L28),"")</f>
        <v>1.46451585551976</v>
      </c>
    </row>
    <row r="30" customFormat="false" ht="40.5" hidden="false" customHeight="true" outlineLevel="0" collapsed="false">
      <c r="A30" s="116" t="s">
        <v>189</v>
      </c>
      <c r="B30" s="116"/>
      <c r="C30" s="116"/>
      <c r="D30" s="24" t="s">
        <v>190</v>
      </c>
      <c r="E30" s="24" t="s">
        <v>191</v>
      </c>
      <c r="F30" s="24" t="s">
        <v>192</v>
      </c>
      <c r="G30" s="24"/>
      <c r="H30" s="24"/>
      <c r="I30" s="59" t="s">
        <v>29</v>
      </c>
      <c r="J30" s="59" t="s">
        <v>31</v>
      </c>
      <c r="K30" s="59" t="s">
        <v>32</v>
      </c>
      <c r="L30" s="59" t="s">
        <v>33</v>
      </c>
      <c r="M30" s="98" t="s">
        <v>34</v>
      </c>
      <c r="N30" s="98" t="s">
        <v>36</v>
      </c>
      <c r="O30" s="98" t="s">
        <v>37</v>
      </c>
      <c r="P30" s="98" t="s">
        <v>38</v>
      </c>
      <c r="Q30" s="98" t="s">
        <v>39</v>
      </c>
      <c r="R30" s="24" t="s">
        <v>193</v>
      </c>
      <c r="S30" s="24" t="s">
        <v>194</v>
      </c>
    </row>
    <row r="31" customFormat="false" ht="19.5" hidden="false" customHeight="true" outlineLevel="0" collapsed="false">
      <c r="A31" s="117" t="s">
        <v>66</v>
      </c>
      <c r="B31" s="117"/>
      <c r="C31" s="117"/>
      <c r="D31" s="36" t="n">
        <f aca="false">W_PAKK</f>
        <v>0.2</v>
      </c>
      <c r="E31" s="118" t="n">
        <f aca="false">COUNTIF(H6:H13,"YA")</f>
        <v>8</v>
      </c>
      <c r="F31" s="118" t="n">
        <f aca="false">ROWS(H6:H13)</f>
        <v>8</v>
      </c>
      <c r="G31" s="81"/>
      <c r="H31" s="81"/>
      <c r="I31" s="106" t="n">
        <f aca="false">IFERROR(AVERAGE(I6:I13),"")</f>
        <v>1.62521250280373</v>
      </c>
      <c r="J31" s="106" t="n">
        <f aca="false">IFERROR(AVERAGE(J6:J13),"")</f>
        <v>1.67182035688152</v>
      </c>
      <c r="K31" s="106" t="n">
        <f aca="false">IFERROR(AVERAGE(K6:K13),"")</f>
        <v>1.32826283186898</v>
      </c>
      <c r="L31" s="106" t="n">
        <f aca="false">IFERROR(AVERAGE(L6:L13),"")</f>
        <v>1.01847294583335</v>
      </c>
      <c r="M31" s="106" t="n">
        <f aca="false">IFERROR(AVERAGE(M6:M13),"")</f>
        <v>1.15099742859466</v>
      </c>
      <c r="N31" s="106" t="n">
        <f aca="false">IFERROR(AVERAGE(N6:N13),"")</f>
        <v>1.10942323373598</v>
      </c>
      <c r="O31" s="106" t="n">
        <f aca="false">IFERROR(AVERAGE(O6:O13),"")</f>
        <v>0.959244291182156</v>
      </c>
      <c r="P31" s="106" t="n">
        <f aca="false">IFERROR(AVERAGE(P6:P13),"")</f>
        <v>0.890397558777261</v>
      </c>
      <c r="Q31" s="106" t="n">
        <f aca="false">IFERROR(AVERAGE(Q6:Q13),"")</f>
        <v>0.88993748770995</v>
      </c>
      <c r="R31" s="106" t="n">
        <f aca="false">IFERROR(AVERAGE(M31:Q31),"")</f>
        <v>1</v>
      </c>
      <c r="S31" s="106" t="n">
        <f aca="false">IFERROR(AVERAGE(I31:L31),"")</f>
        <v>1.41094215934689</v>
      </c>
    </row>
    <row r="32" customFormat="false" ht="19.5" hidden="false" customHeight="true" outlineLevel="0" collapsed="false">
      <c r="A32" s="119" t="s">
        <v>91</v>
      </c>
      <c r="B32" s="119"/>
      <c r="C32" s="119"/>
      <c r="D32" s="36" t="n">
        <f aca="false">W_KEM</f>
        <v>0.15</v>
      </c>
      <c r="E32" s="118" t="n">
        <f aca="false">COUNTIF(H14:H17,"YA")</f>
        <v>4</v>
      </c>
      <c r="F32" s="118" t="n">
        <f aca="false">ROWS(H14:H17)</f>
        <v>4</v>
      </c>
      <c r="G32" s="81"/>
      <c r="H32" s="81"/>
      <c r="I32" s="106" t="n">
        <f aca="false">IFERROR(AVERAGE(I14:I17),"")</f>
        <v>1.35139960284314</v>
      </c>
      <c r="J32" s="106" t="n">
        <f aca="false">IFERROR(AVERAGE(J14:J17),"")</f>
        <v>2.20436688409545</v>
      </c>
      <c r="K32" s="106" t="n">
        <f aca="false">IFERROR(AVERAGE(K14:K17),"")</f>
        <v>1.93324340821656</v>
      </c>
      <c r="L32" s="106" t="n">
        <f aca="false">IFERROR(AVERAGE(L14:L17),"")</f>
        <v>1.73109678779654</v>
      </c>
      <c r="M32" s="106" t="n">
        <f aca="false">IFERROR(AVERAGE(M14:M17),"")</f>
        <v>1.08221974763573</v>
      </c>
      <c r="N32" s="106" t="n">
        <f aca="false">IFERROR(AVERAGE(N14:N17),"")</f>
        <v>0.695107189995332</v>
      </c>
      <c r="O32" s="106" t="n">
        <f aca="false">IFERROR(AVERAGE(O14:O17),"")</f>
        <v>1.40286520230542</v>
      </c>
      <c r="P32" s="106" t="n">
        <f aca="false">IFERROR(AVERAGE(P14:P17),"")</f>
        <v>0.820514686469964</v>
      </c>
      <c r="Q32" s="106" t="n">
        <f aca="false">IFERROR(AVERAGE(Q14:Q17),"")</f>
        <v>0.999293173593554</v>
      </c>
      <c r="R32" s="106" t="n">
        <f aca="false">IFERROR(AVERAGE(M32:Q32),"")</f>
        <v>1</v>
      </c>
      <c r="S32" s="106" t="n">
        <f aca="false">IFERROR(AVERAGE(I32:L32),"")</f>
        <v>1.80502667073792</v>
      </c>
    </row>
    <row r="33" customFormat="false" ht="19.5" hidden="false" customHeight="true" outlineLevel="0" collapsed="false">
      <c r="A33" s="120" t="s">
        <v>104</v>
      </c>
      <c r="B33" s="120"/>
      <c r="C33" s="120"/>
      <c r="D33" s="36" t="n">
        <f aca="false">W_KOM</f>
        <v>0.15</v>
      </c>
      <c r="E33" s="118" t="n">
        <f aca="false">COUNTIF(H18:H21,"YA")</f>
        <v>3</v>
      </c>
      <c r="F33" s="118" t="n">
        <f aca="false">ROWS(H18:H21)</f>
        <v>4</v>
      </c>
      <c r="G33" s="81"/>
      <c r="H33" s="81"/>
      <c r="I33" s="106" t="n">
        <f aca="false">IFERROR(AVERAGE(I18:I21),"")</f>
        <v>3.89464657957801</v>
      </c>
      <c r="J33" s="106" t="n">
        <f aca="false">IFERROR(AVERAGE(J18:J21),"")</f>
        <v>2.03513920289644</v>
      </c>
      <c r="K33" s="106" t="n">
        <f aca="false">IFERROR(AVERAGE(K18:K21),"")</f>
        <v>1.46608529751233</v>
      </c>
      <c r="L33" s="106" t="n">
        <f aca="false">IFERROR(AVERAGE(L18:L21),"")</f>
        <v>1.27571485406156</v>
      </c>
      <c r="M33" s="106" t="n">
        <f aca="false">IFERROR(AVERAGE(M18:M21),"")</f>
        <v>1.33751543771967</v>
      </c>
      <c r="N33" s="106" t="n">
        <f aca="false">IFERROR(AVERAGE(N18:N21),"")</f>
        <v>1.57533426565572</v>
      </c>
      <c r="O33" s="106" t="n">
        <f aca="false">IFERROR(AVERAGE(O18:O21),"")</f>
        <v>0.585068580552558</v>
      </c>
      <c r="P33" s="106" t="n">
        <f aca="false">IFERROR(AVERAGE(P18:P21),"")</f>
        <v>0.689886338375892</v>
      </c>
      <c r="Q33" s="106" t="n">
        <f aca="false">IFERROR(AVERAGE(Q18:Q21),"")</f>
        <v>0.865662993098924</v>
      </c>
      <c r="R33" s="106" t="n">
        <f aca="false">IFERROR(AVERAGE(M33:Q33),"")</f>
        <v>1.01069352308055</v>
      </c>
      <c r="S33" s="106" t="n">
        <f aca="false">IFERROR(AVERAGE(I33:L33),"")</f>
        <v>2.16789648351208</v>
      </c>
    </row>
    <row r="34" customFormat="false" ht="19.5" hidden="false" customHeight="true" outlineLevel="0" collapsed="false">
      <c r="A34" s="121" t="s">
        <v>114</v>
      </c>
      <c r="B34" s="121"/>
      <c r="C34" s="121"/>
      <c r="D34" s="36" t="n">
        <f aca="false">W_PENG</f>
        <v>0.5</v>
      </c>
      <c r="E34" s="118" t="n">
        <f aca="false">COUNTIF(H22:H28,"YA")</f>
        <v>2</v>
      </c>
      <c r="F34" s="118" t="n">
        <f aca="false">ROWS(H22:H28)</f>
        <v>7</v>
      </c>
      <c r="G34" s="81"/>
      <c r="H34" s="81"/>
      <c r="I34" s="106" t="n">
        <f aca="false">IFERROR(AVERAGE(I22:I28),"")</f>
        <v>2.12642503698724</v>
      </c>
      <c r="J34" s="106" t="n">
        <f aca="false">IFERROR(AVERAGE(J22:J28),"")</f>
        <v>1.41876667218387</v>
      </c>
      <c r="K34" s="106" t="n">
        <f aca="false">IFERROR(AVERAGE(K22:K28),"")</f>
        <v>0.754078581856128</v>
      </c>
      <c r="L34" s="106" t="n">
        <f aca="false">IFERROR(AVERAGE(L22:L28),"")</f>
        <v>1.64123846592046</v>
      </c>
      <c r="M34" s="106" t="n">
        <f aca="false">IFERROR(AVERAGE(M22:M28),"")</f>
        <v>1.25661090909583</v>
      </c>
      <c r="N34" s="106" t="n">
        <f aca="false">IFERROR(AVERAGE(N22:N28),"")</f>
        <v>1.11510402968863</v>
      </c>
      <c r="O34" s="106" t="n">
        <f aca="false">IFERROR(AVERAGE(O22:O28),"")</f>
        <v>1.14942956210692</v>
      </c>
      <c r="P34" s="106" t="n">
        <f aca="false">IFERROR(AVERAGE(P22:P28),"")</f>
        <v>1.01572080529462</v>
      </c>
      <c r="Q34" s="106" t="n">
        <f aca="false">IFERROR(AVERAGE(Q22:Q28),"")</f>
        <v>0.463134693814</v>
      </c>
      <c r="R34" s="106" t="n">
        <f aca="false">IFERROR(AVERAGE(M34:Q34),"")</f>
        <v>1</v>
      </c>
      <c r="S34" s="106" t="n">
        <f aca="false">IFERROR(AVERAGE(I34:L34),"")</f>
        <v>1.48512718923692</v>
      </c>
    </row>
    <row r="36" customFormat="false" ht="19.5" hidden="false" customHeight="true" outlineLevel="0" collapsed="false">
      <c r="A36" s="122" t="s">
        <v>195</v>
      </c>
      <c r="B36" s="122"/>
      <c r="C36" s="122"/>
      <c r="D36" s="122"/>
      <c r="E36" s="122"/>
      <c r="F36" s="122"/>
      <c r="G36" s="122"/>
      <c r="H36" s="122"/>
      <c r="I36" s="106" t="n">
        <f aca="false">IF(ISNUMBER(I31),$D$31*I31,0)+IF(ISNUMBER(I32),$D$32*I32,0)+IF(ISNUMBER(I33),$D$33*I33,0)+IF(ISNUMBER(I34),$D$34*I34,0)</f>
        <v>2.17516194641754</v>
      </c>
      <c r="J36" s="106" t="n">
        <f aca="false">IF(ISNUMBER(J31),$D$31*J31,0)+IF(ISNUMBER(J32),$D$32*J32,0)+IF(ISNUMBER(J33),$D$33*J33,0)+IF(ISNUMBER(J34),$D$34*J34,0)</f>
        <v>1.67967332051702</v>
      </c>
      <c r="K36" s="106" t="n">
        <f aca="false">IF(ISNUMBER(K31),$D$31*K31,0)+IF(ISNUMBER(K32),$D$32*K32,0)+IF(ISNUMBER(K33),$D$33*K33,0)+IF(ISNUMBER(K34),$D$34*K34,0)</f>
        <v>1.15259116316119</v>
      </c>
      <c r="L36" s="106" t="n">
        <f aca="false">IF(ISNUMBER(L31),$D$31*L31,0)+IF(ISNUMBER(L32),$D$32*L32,0)+IF(ISNUMBER(L33),$D$33*L33,0)+IF(ISNUMBER(L34),$D$34*L34,0)</f>
        <v>1.47533556840561</v>
      </c>
      <c r="M36" s="106" t="n">
        <f aca="false">IF(ISNUMBER(M31),$D$31*M31,0)+IF(ISNUMBER(M32),$D$32*M32,0)+IF(ISNUMBER(M33),$D$33*M33,0)+IF(ISNUMBER(M34),$D$34*M34,0)</f>
        <v>1.22146521807016</v>
      </c>
      <c r="N36" s="106" t="n">
        <f aca="false">IF(ISNUMBER(N31),$D$31*N31,0)+IF(ISNUMBER(N32),$D$32*N32,0)+IF(ISNUMBER(N33),$D$33*N33,0)+IF(ISNUMBER(N34),$D$34*N34,0)</f>
        <v>1.12000287993917</v>
      </c>
      <c r="O36" s="106" t="n">
        <f aca="false">IF(ISNUMBER(O31),$D$31*O31,0)+IF(ISNUMBER(O32),$D$32*O32,0)+IF(ISNUMBER(O33),$D$33*O33,0)+IF(ISNUMBER(O34),$D$34*O34,0)</f>
        <v>1.06475370671859</v>
      </c>
      <c r="P36" s="106" t="n">
        <f aca="false">IF(ISNUMBER(P31),$D$31*P31,0)+IF(ISNUMBER(P32),$D$32*P32,0)+IF(ISNUMBER(P33),$D$33*P33,0)+IF(ISNUMBER(P34),$D$34*P34,0)</f>
        <v>0.912500068129639</v>
      </c>
      <c r="Q36" s="106" t="n">
        <f aca="false">IF(ISNUMBER(Q31),$D$31*Q31,0)+IF(ISNUMBER(Q32),$D$32*Q32,0)+IF(ISNUMBER(Q33),$D$33*Q33,0)+IF(ISNUMBER(Q34),$D$34*Q34,0)</f>
        <v>0.689298269452862</v>
      </c>
      <c r="R36" s="106" t="n">
        <f aca="false">IFERROR(AVERAGE(M36:Q36),"")</f>
        <v>1.00160402846208</v>
      </c>
      <c r="S36" s="106" t="n">
        <f aca="false">IFERROR(AVERAGE(I36:L36),"")</f>
        <v>1.62069049962534</v>
      </c>
    </row>
    <row r="37" customFormat="false" ht="19.5" hidden="false" customHeight="true" outlineLevel="0" collapsed="false">
      <c r="A37" s="122" t="s">
        <v>196</v>
      </c>
      <c r="B37" s="122"/>
      <c r="C37" s="122"/>
      <c r="D37" s="122"/>
      <c r="E37" s="122"/>
      <c r="F37" s="122"/>
      <c r="G37" s="122"/>
      <c r="H37" s="122"/>
      <c r="I37" s="123" t="n">
        <f aca="false">IF(ISNUMBER(I31),$D$31,0)+IF(ISNUMBER(I32),$D$32,0)+IF(ISNUMBER(I33),$D$33,0)+IF(ISNUMBER(I34),$D$34,0)</f>
        <v>1</v>
      </c>
      <c r="J37" s="123" t="n">
        <f aca="false">IF(ISNUMBER(J31),$D$31,0)+IF(ISNUMBER(J32),$D$32,0)+IF(ISNUMBER(J33),$D$33,0)+IF(ISNUMBER(J34),$D$34,0)</f>
        <v>1</v>
      </c>
      <c r="K37" s="123" t="n">
        <f aca="false">IF(ISNUMBER(K31),$D$31,0)+IF(ISNUMBER(K32),$D$32,0)+IF(ISNUMBER(K33),$D$33,0)+IF(ISNUMBER(K34),$D$34,0)</f>
        <v>1</v>
      </c>
      <c r="L37" s="123" t="n">
        <f aca="false">IF(ISNUMBER(L31),$D$31,0)+IF(ISNUMBER(L32),$D$32,0)+IF(ISNUMBER(L33),$D$33,0)+IF(ISNUMBER(L34),$D$34,0)</f>
        <v>1</v>
      </c>
      <c r="M37" s="123" t="n">
        <f aca="false">IF(ISNUMBER(M31),$D$31,0)+IF(ISNUMBER(M32),$D$32,0)+IF(ISNUMBER(M33),$D$33,0)+IF(ISNUMBER(M34),$D$34,0)</f>
        <v>1</v>
      </c>
      <c r="N37" s="123" t="n">
        <f aca="false">IF(ISNUMBER(N31),$D$31,0)+IF(ISNUMBER(N32),$D$32,0)+IF(ISNUMBER(N33),$D$33,0)+IF(ISNUMBER(N34),$D$34,0)</f>
        <v>1</v>
      </c>
      <c r="O37" s="123" t="n">
        <f aca="false">IF(ISNUMBER(O31),$D$31,0)+IF(ISNUMBER(O32),$D$32,0)+IF(ISNUMBER(O33),$D$33,0)+IF(ISNUMBER(O34),$D$34,0)</f>
        <v>1</v>
      </c>
      <c r="P37" s="123" t="n">
        <f aca="false">IF(ISNUMBER(P31),$D$31,0)+IF(ISNUMBER(P32),$D$32,0)+IF(ISNUMBER(P33),$D$33,0)+IF(ISNUMBER(P34),$D$34,0)</f>
        <v>1</v>
      </c>
      <c r="Q37" s="123" t="n">
        <f aca="false">IF(ISNUMBER(Q31),$D$31,0)+IF(ISNUMBER(Q32),$D$32,0)+IF(ISNUMBER(Q33),$D$33,0)+IF(ISNUMBER(Q34),$D$34,0)</f>
        <v>1</v>
      </c>
      <c r="R37" s="123" t="n">
        <f aca="false">IFERROR(AVERAGE(M37:Q37),"")</f>
        <v>1</v>
      </c>
      <c r="S37" s="123" t="n">
        <f aca="false">IFERROR(AVERAGE(I37:L37),"")</f>
        <v>1</v>
      </c>
    </row>
    <row r="38" customFormat="false" ht="19.5" hidden="false" customHeight="true" outlineLevel="0" collapsed="false">
      <c r="A38" s="124" t="s">
        <v>197</v>
      </c>
      <c r="B38" s="124"/>
      <c r="C38" s="124"/>
      <c r="D38" s="124"/>
      <c r="E38" s="124"/>
      <c r="F38" s="124"/>
      <c r="G38" s="124"/>
      <c r="H38" s="124"/>
      <c r="I38" s="125" t="n">
        <f aca="false">IFERROR(I36/I37,"")</f>
        <v>2.17516194641754</v>
      </c>
      <c r="J38" s="125" t="n">
        <f aca="false">IFERROR(J36/J37,"")</f>
        <v>1.67967332051702</v>
      </c>
      <c r="K38" s="125" t="n">
        <f aca="false">IFERROR(K36/K37,"")</f>
        <v>1.15259116316119</v>
      </c>
      <c r="L38" s="125" t="n">
        <f aca="false">IFERROR(L36/L37,"")</f>
        <v>1.47533556840561</v>
      </c>
      <c r="M38" s="125" t="n">
        <f aca="false">IFERROR(M36/M37,"")</f>
        <v>1.22146521807016</v>
      </c>
      <c r="N38" s="125" t="n">
        <f aca="false">IFERROR(N36/N37,"")</f>
        <v>1.12000287993917</v>
      </c>
      <c r="O38" s="125" t="n">
        <f aca="false">IFERROR(O36/O37,"")</f>
        <v>1.06475370671859</v>
      </c>
      <c r="P38" s="125" t="n">
        <f aca="false">IFERROR(P36/P37,"")</f>
        <v>0.912500068129639</v>
      </c>
      <c r="Q38" s="125" t="n">
        <f aca="false">IFERROR(Q36/Q37,"")</f>
        <v>0.689298269452862</v>
      </c>
      <c r="R38" s="39" t="n">
        <f aca="false">IFERROR(AVERAGE(M38:Q38),"")</f>
        <v>1.00160402846208</v>
      </c>
      <c r="S38" s="39" t="n">
        <f aca="false">IFERROR(AVERAGE(I38:L38),"")</f>
        <v>1.62069049962534</v>
      </c>
    </row>
    <row r="39" customFormat="false" ht="19.5" hidden="false" customHeight="true" outlineLevel="0" collapsed="false">
      <c r="A39" s="122" t="s">
        <v>198</v>
      </c>
      <c r="B39" s="122"/>
      <c r="C39" s="122"/>
      <c r="D39" s="122"/>
      <c r="E39" s="122"/>
      <c r="F39" s="122"/>
      <c r="G39" s="122"/>
      <c r="H39" s="122"/>
      <c r="I39" s="126" t="n">
        <f aca="false">IFERROR(RANK(I38,$I$38:$Q$38),"")</f>
        <v>1</v>
      </c>
      <c r="J39" s="126" t="n">
        <f aca="false">IFERROR(RANK(J38,$I$38:$Q$38),"")</f>
        <v>2</v>
      </c>
      <c r="K39" s="126" t="n">
        <f aca="false">IFERROR(RANK(K38,$I$38:$Q$38),"")</f>
        <v>5</v>
      </c>
      <c r="L39" s="126" t="n">
        <f aca="false">IFERROR(RANK(L38,$I$38:$Q$38),"")</f>
        <v>3</v>
      </c>
      <c r="M39" s="126" t="n">
        <f aca="false">IFERROR(RANK(M38,$I$38:$Q$38),"")</f>
        <v>4</v>
      </c>
      <c r="N39" s="126" t="n">
        <f aca="false">IFERROR(RANK(N38,$I$38:$Q$38),"")</f>
        <v>6</v>
      </c>
      <c r="O39" s="126" t="n">
        <f aca="false">IFERROR(RANK(O38,$I$38:$Q$38),"")</f>
        <v>7</v>
      </c>
      <c r="P39" s="126" t="n">
        <f aca="false">IFERROR(RANK(P38,$I$38:$Q$38),"")</f>
        <v>8</v>
      </c>
      <c r="Q39" s="126" t="n">
        <f aca="false">IFERROR(RANK(Q38,$I$38:$Q$38),"")</f>
        <v>9</v>
      </c>
      <c r="R39" s="81"/>
      <c r="S39" s="81"/>
    </row>
    <row r="40" customFormat="false" ht="19.5" hidden="false" customHeight="true" outlineLevel="0" collapsed="false">
      <c r="A40" s="122" t="s">
        <v>199</v>
      </c>
      <c r="B40" s="122"/>
      <c r="C40" s="122"/>
      <c r="D40" s="122"/>
      <c r="E40" s="122"/>
      <c r="F40" s="122"/>
      <c r="G40" s="122"/>
      <c r="H40" s="122"/>
      <c r="I40" s="126" t="n">
        <f aca="false">COUNT(I6:I28)</f>
        <v>17</v>
      </c>
      <c r="J40" s="126" t="n">
        <f aca="false">COUNT(J6:J28)</f>
        <v>17</v>
      </c>
      <c r="K40" s="126" t="n">
        <f aca="false">COUNT(K6:K28)</f>
        <v>17</v>
      </c>
      <c r="L40" s="126" t="n">
        <f aca="false">COUNT(L6:L28)</f>
        <v>17</v>
      </c>
      <c r="M40" s="126" t="n">
        <f aca="false">COUNT(M6:M28)</f>
        <v>17</v>
      </c>
      <c r="N40" s="126" t="n">
        <f aca="false">COUNT(N6:N28)</f>
        <v>16</v>
      </c>
      <c r="O40" s="126" t="n">
        <f aca="false">COUNT(O6:O28)</f>
        <v>16</v>
      </c>
      <c r="P40" s="126" t="n">
        <f aca="false">COUNT(P6:P28)</f>
        <v>17</v>
      </c>
      <c r="Q40" s="126" t="n">
        <f aca="false">COUNT(Q6:Q28)</f>
        <v>17</v>
      </c>
      <c r="R40" s="126" t="n">
        <f aca="false">IFERROR(AVERAGE(M40:Q40),"")</f>
        <v>16.6</v>
      </c>
      <c r="S40" s="126" t="n">
        <f aca="false">IFERROR(AVERAGE(I40:L40),"")</f>
        <v>17</v>
      </c>
    </row>
    <row r="41" customFormat="false" ht="19.5" hidden="false" customHeight="true" outlineLevel="0" collapsed="false">
      <c r="A41" s="122" t="s">
        <v>200</v>
      </c>
      <c r="B41" s="122"/>
      <c r="C41" s="122"/>
      <c r="D41" s="122"/>
      <c r="E41" s="122"/>
      <c r="F41" s="122"/>
      <c r="G41" s="122"/>
      <c r="H41" s="122"/>
      <c r="I41" s="123" t="n">
        <f aca="false">$D$31*COUNT(I6:I13)/ROWS(I6:I13)+$D$32*COUNT(I14:I17)/ROWS(I14:I17)+$D$33*COUNT(I18:I21)/ROWS(I18:I21)+$D$34*COUNT(I22:I28)/ROWS(I22:I28)</f>
        <v>0.605357142857143</v>
      </c>
      <c r="J41" s="123" t="n">
        <f aca="false">$D$31*COUNT(J6:J13)/ROWS(J6:J13)+$D$32*COUNT(J14:J17)/ROWS(J14:J17)+$D$33*COUNT(J18:J21)/ROWS(J18:J21)+$D$34*COUNT(J22:J28)/ROWS(J22:J28)</f>
        <v>0.605357142857143</v>
      </c>
      <c r="K41" s="123" t="n">
        <f aca="false">$D$31*COUNT(K6:K13)/ROWS(K6:K13)+$D$32*COUNT(K14:K17)/ROWS(K14:K17)+$D$33*COUNT(K18:K21)/ROWS(K18:K21)+$D$34*COUNT(K22:K28)/ROWS(K22:K28)</f>
        <v>0.605357142857143</v>
      </c>
      <c r="L41" s="123" t="n">
        <f aca="false">$D$31*COUNT(L6:L13)/ROWS(L6:L13)+$D$32*COUNT(L14:L17)/ROWS(L14:L17)+$D$33*COUNT(L18:L21)/ROWS(L18:L21)+$D$34*COUNT(L22:L28)/ROWS(L22:L28)</f>
        <v>0.605357142857143</v>
      </c>
      <c r="M41" s="123" t="n">
        <f aca="false">$D$31*COUNT(M6:M13)/ROWS(M6:M13)+$D$32*COUNT(M14:M17)/ROWS(M14:M17)+$D$33*COUNT(M18:M21)/ROWS(M18:M21)+$D$34*COUNT(M22:M28)/ROWS(M22:M28)</f>
        <v>0.605357142857143</v>
      </c>
      <c r="N41" s="123" t="n">
        <f aca="false">$D$31*COUNT(N6:N13)/ROWS(N6:N13)+$D$32*COUNT(N14:N17)/ROWS(N14:N17)+$D$33*COUNT(N18:N21)/ROWS(N18:N21)+$D$34*COUNT(N22:N28)/ROWS(N22:N28)</f>
        <v>0.567857142857143</v>
      </c>
      <c r="O41" s="123" t="n">
        <f aca="false">$D$31*COUNT(O6:O13)/ROWS(O6:O13)+$D$32*COUNT(O14:O17)/ROWS(O14:O17)+$D$33*COUNT(O18:O21)/ROWS(O18:O21)+$D$34*COUNT(O22:O28)/ROWS(O22:O28)</f>
        <v>0.567857142857143</v>
      </c>
      <c r="P41" s="123" t="n">
        <f aca="false">$D$31*COUNT(P6:P13)/ROWS(P6:P13)+$D$32*COUNT(P14:P17)/ROWS(P14:P17)+$D$33*COUNT(P18:P21)/ROWS(P18:P21)+$D$34*COUNT(P22:P28)/ROWS(P22:P28)</f>
        <v>0.605357142857143</v>
      </c>
      <c r="Q41" s="123" t="n">
        <f aca="false">$D$31*COUNT(Q6:Q13)/ROWS(Q6:Q13)+$D$32*COUNT(Q14:Q17)/ROWS(Q14:Q17)+$D$33*COUNT(Q18:Q21)/ROWS(Q18:Q21)+$D$34*COUNT(Q22:Q28)/ROWS(Q22:Q28)</f>
        <v>0.605357142857143</v>
      </c>
      <c r="R41" s="123" t="n">
        <f aca="false">IFERROR(AVERAGE(M41:Q41),"")</f>
        <v>0.590357142857143</v>
      </c>
      <c r="S41" s="123" t="n">
        <f aca="false">IFERROR(AVERAGE(I41:L41),"")</f>
        <v>0.605357142857143</v>
      </c>
    </row>
    <row r="42" customFormat="false" ht="19.5" hidden="false" customHeight="true" outlineLevel="0" collapsed="false">
      <c r="A42" s="127" t="s">
        <v>201</v>
      </c>
      <c r="B42" s="127"/>
      <c r="C42" s="127"/>
      <c r="D42" s="127"/>
      <c r="E42" s="127"/>
      <c r="F42" s="127"/>
      <c r="G42" s="127"/>
      <c r="H42" s="127"/>
      <c r="I42" s="39" t="n">
        <f aca="false">IFERROR((IF(ISNUMBER(I31),$D$31*I31,0)+IF(ISNUMBER(I32),$D$32*I32,0)+IF(ISNUMBER(I33),$D$33*I33,0))/(IF(ISNUMBER(I31),$D$31,0)+IF(ISNUMBER(I32),$D$32,0)+IF(ISNUMBER(I33),$D$33,0)),"")</f>
        <v>2.22389885584783</v>
      </c>
      <c r="J42" s="39" t="n">
        <f aca="false">IFERROR((IF(ISNUMBER(J31),$D$31*J31,0)+IF(ISNUMBER(J32),$D$32*J32,0)+IF(ISNUMBER(J33),$D$33*J33,0))/(IF(ISNUMBER(J31),$D$31,0)+IF(ISNUMBER(J32),$D$32,0)+IF(ISNUMBER(J33),$D$33,0)),"")</f>
        <v>1.94057996885018</v>
      </c>
      <c r="K42" s="39" t="n">
        <f aca="false">IFERROR((IF(ISNUMBER(K31),$D$31*K31,0)+IF(ISNUMBER(K32),$D$32*K32,0)+IF(ISNUMBER(K33),$D$33*K33,0))/(IF(ISNUMBER(K31),$D$31,0)+IF(ISNUMBER(K32),$D$32,0)+IF(ISNUMBER(K33),$D$33,0)),"")</f>
        <v>1.55110374446626</v>
      </c>
      <c r="L42" s="39" t="n">
        <f aca="false">IFERROR((IF(ISNUMBER(L31),$D$31*L31,0)+IF(ISNUMBER(L32),$D$32*L32,0)+IF(ISNUMBER(L33),$D$33*L33,0))/(IF(ISNUMBER(L31),$D$31,0)+IF(ISNUMBER(L32),$D$32,0)+IF(ISNUMBER(L33),$D$33,0)),"")</f>
        <v>1.30943267089077</v>
      </c>
      <c r="M42" s="39" t="n">
        <f aca="false">IFERROR((IF(ISNUMBER(M31),$D$31*M31,0)+IF(ISNUMBER(M32),$D$32*M32,0)+IF(ISNUMBER(M33),$D$33*M33,0))/(IF(ISNUMBER(M31),$D$31,0)+IF(ISNUMBER(M32),$D$32,0)+IF(ISNUMBER(M33),$D$33,0)),"")</f>
        <v>1.18631952704448</v>
      </c>
      <c r="N42" s="39" t="n">
        <f aca="false">IFERROR((IF(ISNUMBER(N31),$D$31*N31,0)+IF(ISNUMBER(N32),$D$32*N32,0)+IF(ISNUMBER(N33),$D$33*N33,0))/(IF(ISNUMBER(N31),$D$31,0)+IF(ISNUMBER(N32),$D$32,0)+IF(ISNUMBER(N33),$D$33,0)),"")</f>
        <v>1.12490173018971</v>
      </c>
      <c r="O42" s="39" t="n">
        <f aca="false">IFERROR((IF(ISNUMBER(O31),$D$31*O31,0)+IF(ISNUMBER(O32),$D$32*O32,0)+IF(ISNUMBER(O33),$D$33*O33,0))/(IF(ISNUMBER(O31),$D$31,0)+IF(ISNUMBER(O32),$D$32,0)+IF(ISNUMBER(O33),$D$33,0)),"")</f>
        <v>0.980077851330256</v>
      </c>
      <c r="P42" s="39" t="n">
        <f aca="false">IFERROR((IF(ISNUMBER(P31),$D$31*P31,0)+IF(ISNUMBER(P32),$D$32*P32,0)+IF(ISNUMBER(P33),$D$33*P33,0))/(IF(ISNUMBER(P31),$D$31,0)+IF(ISNUMBER(P32),$D$32,0)+IF(ISNUMBER(P33),$D$33,0)),"")</f>
        <v>0.809279330964661</v>
      </c>
      <c r="Q42" s="39" t="n">
        <f aca="false">IFERROR((IF(ISNUMBER(Q31),$D$31*Q31,0)+IF(ISNUMBER(Q32),$D$32*Q32,0)+IF(ISNUMBER(Q33),$D$33*Q33,0))/(IF(ISNUMBER(Q31),$D$31,0)+IF(ISNUMBER(Q32),$D$32,0)+IF(ISNUMBER(Q33),$D$33,0)),"")</f>
        <v>0.915461845091723</v>
      </c>
      <c r="R42" s="39" t="n">
        <f aca="false">IFERROR(AVERAGE(M42:Q42),"")</f>
        <v>1.00320805692417</v>
      </c>
      <c r="S42" s="39" t="n">
        <f aca="false">IFERROR(AVERAGE(I42:L42),"")</f>
        <v>1.75625381001376</v>
      </c>
    </row>
    <row r="43" customFormat="false" ht="19.5" hidden="false" customHeight="true" outlineLevel="0" collapsed="false">
      <c r="A43" s="122" t="s">
        <v>202</v>
      </c>
      <c r="B43" s="122"/>
      <c r="C43" s="122"/>
      <c r="D43" s="122"/>
      <c r="E43" s="122"/>
      <c r="F43" s="122"/>
      <c r="G43" s="122"/>
      <c r="H43" s="122"/>
      <c r="I43" s="126" t="n">
        <f aca="false">IFERROR(RANK(I42,$I$42:$Q$42),"")</f>
        <v>1</v>
      </c>
      <c r="J43" s="126" t="n">
        <f aca="false">IFERROR(RANK(J42,$I$42:$Q$42),"")</f>
        <v>2</v>
      </c>
      <c r="K43" s="126" t="n">
        <f aca="false">IFERROR(RANK(K42,$I$42:$Q$42),"")</f>
        <v>3</v>
      </c>
      <c r="L43" s="126" t="n">
        <f aca="false">IFERROR(RANK(L42,$I$42:$Q$42),"")</f>
        <v>4</v>
      </c>
      <c r="M43" s="126" t="n">
        <f aca="false">IFERROR(RANK(M42,$I$42:$Q$42),"")</f>
        <v>5</v>
      </c>
      <c r="N43" s="126" t="n">
        <f aca="false">IFERROR(RANK(N42,$I$42:$Q$42),"")</f>
        <v>6</v>
      </c>
      <c r="O43" s="126" t="n">
        <f aca="false">IFERROR(RANK(O42,$I$42:$Q$42),"")</f>
        <v>7</v>
      </c>
      <c r="P43" s="126" t="n">
        <f aca="false">IFERROR(RANK(P42,$I$42:$Q$42),"")</f>
        <v>9</v>
      </c>
      <c r="Q43" s="126" t="n">
        <f aca="false">IFERROR(RANK(Q42,$I$42:$Q$42),"")</f>
        <v>8</v>
      </c>
      <c r="R43" s="81"/>
      <c r="S43" s="81"/>
    </row>
    <row r="46" customFormat="false" ht="19.5" hidden="false" customHeight="true" outlineLevel="0" collapsed="false">
      <c r="A46" s="4" t="s">
        <v>203</v>
      </c>
      <c r="B46" s="4"/>
      <c r="C46" s="4"/>
      <c r="D46" s="4"/>
      <c r="E46" s="4"/>
      <c r="F46" s="4"/>
      <c r="G46" s="4"/>
      <c r="H46" s="4"/>
      <c r="I46" s="4"/>
      <c r="J46" s="4"/>
      <c r="K46" s="4"/>
      <c r="L46" s="4"/>
      <c r="M46" s="4"/>
      <c r="N46" s="4"/>
      <c r="O46" s="4"/>
      <c r="P46" s="4"/>
      <c r="Q46" s="4"/>
      <c r="R46" s="4"/>
      <c r="S46" s="4"/>
    </row>
    <row r="47" customFormat="false" ht="18" hidden="false" customHeight="true" outlineLevel="0" collapsed="false">
      <c r="A47" s="43" t="s">
        <v>204</v>
      </c>
      <c r="B47" s="43"/>
      <c r="C47" s="43"/>
      <c r="D47" s="44" t="s">
        <v>205</v>
      </c>
      <c r="E47" s="44"/>
      <c r="F47" s="44"/>
      <c r="G47" s="44"/>
      <c r="H47" s="44"/>
      <c r="I47" s="44"/>
      <c r="J47" s="44"/>
      <c r="K47" s="44"/>
      <c r="L47" s="44"/>
      <c r="M47" s="44"/>
      <c r="N47" s="44"/>
      <c r="O47" s="44"/>
      <c r="P47" s="44"/>
      <c r="Q47" s="44"/>
      <c r="R47" s="44"/>
      <c r="S47" s="44"/>
    </row>
    <row r="48" customFormat="false" ht="18" hidden="false" customHeight="true" outlineLevel="0" collapsed="false">
      <c r="A48" s="128" t="s">
        <v>206</v>
      </c>
      <c r="B48" s="128"/>
      <c r="C48" s="128"/>
      <c r="D48" s="92" t="s">
        <v>207</v>
      </c>
      <c r="E48" s="92"/>
      <c r="F48" s="92"/>
      <c r="G48" s="92"/>
      <c r="H48" s="92"/>
      <c r="I48" s="92"/>
      <c r="J48" s="92"/>
      <c r="K48" s="92"/>
      <c r="L48" s="92"/>
      <c r="M48" s="92"/>
      <c r="N48" s="92"/>
      <c r="O48" s="92"/>
      <c r="P48" s="92"/>
      <c r="Q48" s="92"/>
      <c r="R48" s="92"/>
      <c r="S48" s="92"/>
    </row>
    <row r="49" customFormat="false" ht="18" hidden="false" customHeight="true" outlineLevel="0" collapsed="false">
      <c r="A49" s="51" t="s">
        <v>208</v>
      </c>
      <c r="B49" s="51"/>
      <c r="C49" s="51"/>
      <c r="D49" s="52" t="s">
        <v>209</v>
      </c>
      <c r="E49" s="52"/>
      <c r="F49" s="52"/>
      <c r="G49" s="52"/>
      <c r="H49" s="52"/>
      <c r="I49" s="52"/>
      <c r="J49" s="52"/>
      <c r="K49" s="52"/>
      <c r="L49" s="52"/>
      <c r="M49" s="52"/>
      <c r="N49" s="52"/>
      <c r="O49" s="52"/>
      <c r="P49" s="52"/>
      <c r="Q49" s="52"/>
      <c r="R49" s="52"/>
      <c r="S49" s="52"/>
    </row>
    <row r="50" customFormat="false" ht="18" hidden="false" customHeight="true" outlineLevel="0" collapsed="false">
      <c r="A50" s="129" t="s">
        <v>210</v>
      </c>
      <c r="B50" s="129"/>
      <c r="C50" s="129"/>
      <c r="D50" s="130" t="s">
        <v>211</v>
      </c>
      <c r="E50" s="130"/>
      <c r="F50" s="130"/>
      <c r="G50" s="130"/>
      <c r="H50" s="130"/>
      <c r="I50" s="130"/>
      <c r="J50" s="130"/>
      <c r="K50" s="130"/>
      <c r="L50" s="130"/>
      <c r="M50" s="130"/>
      <c r="N50" s="130"/>
      <c r="O50" s="130"/>
      <c r="P50" s="130"/>
      <c r="Q50" s="130"/>
      <c r="R50" s="130"/>
      <c r="S50" s="130"/>
    </row>
    <row r="51" customFormat="false" ht="18" hidden="false" customHeight="true" outlineLevel="0" collapsed="false">
      <c r="A51" s="45" t="s">
        <v>212</v>
      </c>
      <c r="B51" s="45"/>
      <c r="C51" s="45"/>
      <c r="D51" s="46" t="s">
        <v>213</v>
      </c>
      <c r="E51" s="46"/>
      <c r="F51" s="46"/>
      <c r="G51" s="46"/>
      <c r="H51" s="46"/>
      <c r="I51" s="46"/>
      <c r="J51" s="46"/>
      <c r="K51" s="46"/>
      <c r="L51" s="46"/>
      <c r="M51" s="46"/>
      <c r="N51" s="46"/>
      <c r="O51" s="46"/>
      <c r="P51" s="46"/>
      <c r="Q51" s="46"/>
      <c r="R51" s="46"/>
      <c r="S51" s="46"/>
    </row>
    <row r="52" customFormat="false" ht="18" hidden="false" customHeight="true" outlineLevel="0" collapsed="false">
      <c r="A52" s="47" t="s">
        <v>214</v>
      </c>
      <c r="B52" s="47"/>
      <c r="C52" s="47"/>
      <c r="D52" s="48" t="s">
        <v>215</v>
      </c>
      <c r="E52" s="48"/>
      <c r="F52" s="48"/>
      <c r="G52" s="48"/>
      <c r="H52" s="48"/>
      <c r="I52" s="48"/>
      <c r="J52" s="48"/>
      <c r="K52" s="48"/>
      <c r="L52" s="48"/>
      <c r="M52" s="48"/>
      <c r="N52" s="48"/>
      <c r="O52" s="48"/>
      <c r="P52" s="48"/>
      <c r="Q52" s="48"/>
      <c r="R52" s="48"/>
      <c r="S52" s="48"/>
    </row>
    <row r="53" customFormat="false" ht="18" hidden="false" customHeight="true" outlineLevel="0" collapsed="false">
      <c r="A53" s="53" t="s">
        <v>216</v>
      </c>
      <c r="B53" s="53"/>
      <c r="C53" s="53"/>
      <c r="D53" s="54" t="s">
        <v>217</v>
      </c>
      <c r="E53" s="54"/>
      <c r="F53" s="54"/>
      <c r="G53" s="54"/>
      <c r="H53" s="54"/>
      <c r="I53" s="54"/>
      <c r="J53" s="54"/>
      <c r="K53" s="54"/>
      <c r="L53" s="54"/>
      <c r="M53" s="54"/>
      <c r="N53" s="54"/>
      <c r="O53" s="54"/>
      <c r="P53" s="54"/>
      <c r="Q53" s="54"/>
      <c r="R53" s="54"/>
      <c r="S53" s="54"/>
    </row>
  </sheetData>
  <mergeCells count="34">
    <mergeCell ref="A1:S1"/>
    <mergeCell ref="A2:S2"/>
    <mergeCell ref="A4:H4"/>
    <mergeCell ref="I4:L4"/>
    <mergeCell ref="M4:Q4"/>
    <mergeCell ref="R4:S4"/>
    <mergeCell ref="A30:C30"/>
    <mergeCell ref="A31:C31"/>
    <mergeCell ref="A32:C32"/>
    <mergeCell ref="A33:C33"/>
    <mergeCell ref="A34:C34"/>
    <mergeCell ref="A36:H36"/>
    <mergeCell ref="A37:H37"/>
    <mergeCell ref="A38:H38"/>
    <mergeCell ref="A39:H39"/>
    <mergeCell ref="A40:H40"/>
    <mergeCell ref="A41:H41"/>
    <mergeCell ref="A42:H42"/>
    <mergeCell ref="A43:H43"/>
    <mergeCell ref="A46:S46"/>
    <mergeCell ref="A47:C47"/>
    <mergeCell ref="D47:S47"/>
    <mergeCell ref="A48:C48"/>
    <mergeCell ref="D48:S48"/>
    <mergeCell ref="A49:C49"/>
    <mergeCell ref="D49:S49"/>
    <mergeCell ref="A50:C50"/>
    <mergeCell ref="D50:S50"/>
    <mergeCell ref="A51:C51"/>
    <mergeCell ref="D51:S51"/>
    <mergeCell ref="A52:C52"/>
    <mergeCell ref="D52:S52"/>
    <mergeCell ref="A53:C53"/>
    <mergeCell ref="D53:S53"/>
  </mergeCells>
  <conditionalFormatting sqref="H6:H28">
    <cfRule type="cellIs" priority="2" operator="equal" aboveAverage="0" equalAverage="0" bottom="0" percent="0" rank="0" text="" dxfId="2">
      <formula>"YA"</formula>
    </cfRule>
    <cfRule type="cellIs" priority="3" operator="equal" aboveAverage="0" equalAverage="0" bottom="0" percent="0" rank="0" text="" dxfId="3">
      <formula>"TIDAK"</formula>
    </cfRule>
  </conditionalFormatting>
  <conditionalFormatting sqref="I6:Q28">
    <cfRule type="colorScale" priority="4">
      <colorScale>
        <cfvo type="num" val="0"/>
        <cfvo type="num" val="1"/>
        <cfvo type="num" val="3"/>
        <color rgb="FFF8CBAD"/>
        <color rgb="FFFFFFFF"/>
        <color rgb="FFA9D08E"/>
      </colorScale>
    </cfRule>
  </conditionalFormatting>
  <dataValidations count="1">
    <dataValidation allowBlank="true" error="Pilih YA, TIDAK atau biarkan kosong." errorStyle="stop" operator="between" showDropDown="false" showErrorMessage="true" showInputMessage="false" sqref="G6:G28" type="list">
      <formula1>"YA,TIDAK"</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8C"/>
    <pageSetUpPr fitToPage="true"/>
  </sheetPr>
  <dimension ref="B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1"/>
    <col collapsed="false" customWidth="true" hidden="false" outlineLevel="0" max="3" min="3" style="0" width="15"/>
    <col collapsed="false" customWidth="true" hidden="false" outlineLevel="0" max="12" min="4" style="0" width="11"/>
    <col collapsed="false" customWidth="true" hidden="false" outlineLevel="0" max="14" min="13" style="0" width="12"/>
  </cols>
  <sheetData>
    <row r="1" customFormat="false" ht="30" hidden="false" customHeight="true" outlineLevel="0" collapsed="false">
      <c r="B1" s="1" t="s">
        <v>218</v>
      </c>
      <c r="C1" s="1"/>
      <c r="D1" s="1"/>
      <c r="E1" s="1"/>
      <c r="F1" s="1"/>
      <c r="G1" s="1"/>
      <c r="H1" s="1"/>
      <c r="I1" s="1"/>
      <c r="J1" s="1"/>
      <c r="K1" s="1"/>
      <c r="L1" s="1"/>
      <c r="M1" s="1"/>
      <c r="N1" s="1"/>
    </row>
    <row r="2" customFormat="false" ht="18" hidden="false" customHeight="true" outlineLevel="0" collapsed="false">
      <c r="B2" s="2" t="str">
        <f aca="false">"Wajaran keluasan "&amp;TEXT(W_GEO,"0%")&amp;"; wajaran HQ didarab "&amp;TEXT(1-W_GEO,"0%")&amp;" | 1.00 = purata 5 negeri sederhana | Had nisbah: "&amp;IF(P_HAD&gt;=99,"tiada",TEXT(P_HAD,"0.0"))</f>
        <v>Wajaran keluasan 10%; wajaran HQ didarab 90% | 1.00 = purata 5 negeri sederhana | Had nisbah: tiada</v>
      </c>
      <c r="C2" s="2"/>
      <c r="D2" s="2"/>
      <c r="E2" s="2"/>
      <c r="F2" s="2"/>
      <c r="G2" s="2"/>
      <c r="H2" s="2"/>
      <c r="I2" s="2"/>
      <c r="J2" s="2"/>
      <c r="K2" s="2"/>
      <c r="L2" s="2"/>
      <c r="M2" s="2"/>
      <c r="N2" s="2"/>
    </row>
    <row r="4" customFormat="false" ht="31.5" hidden="false" customHeight="true" outlineLevel="0" collapsed="false">
      <c r="B4" s="131" t="s">
        <v>59</v>
      </c>
      <c r="C4" s="131" t="s">
        <v>219</v>
      </c>
      <c r="D4" s="131" t="s">
        <v>220</v>
      </c>
    </row>
    <row r="5" customFormat="false" ht="18" hidden="false" customHeight="true" outlineLevel="0" collapsed="false">
      <c r="B5" s="132" t="s">
        <v>66</v>
      </c>
      <c r="C5" s="36" t="n">
        <f aca="false">W_PAKK</f>
        <v>0.2</v>
      </c>
      <c r="D5" s="123" t="n">
        <f aca="false">C5*(1-W_GEO)</f>
        <v>0.18</v>
      </c>
    </row>
    <row r="6" customFormat="false" ht="18" hidden="false" customHeight="true" outlineLevel="0" collapsed="false">
      <c r="B6" s="133" t="s">
        <v>91</v>
      </c>
      <c r="C6" s="36" t="n">
        <f aca="false">W_KEM</f>
        <v>0.15</v>
      </c>
      <c r="D6" s="123" t="n">
        <f aca="false">C6*(1-W_GEO)</f>
        <v>0.135</v>
      </c>
    </row>
    <row r="7" customFormat="false" ht="18" hidden="false" customHeight="true" outlineLevel="0" collapsed="false">
      <c r="B7" s="134" t="s">
        <v>104</v>
      </c>
      <c r="C7" s="36" t="n">
        <f aca="false">W_KOM</f>
        <v>0.15</v>
      </c>
      <c r="D7" s="123" t="n">
        <f aca="false">C7*(1-W_GEO)</f>
        <v>0.135</v>
      </c>
    </row>
    <row r="8" customFormat="false" ht="18" hidden="false" customHeight="true" outlineLevel="0" collapsed="false">
      <c r="B8" s="135" t="s">
        <v>114</v>
      </c>
      <c r="C8" s="36" t="n">
        <f aca="false">W_PENG</f>
        <v>0.5</v>
      </c>
      <c r="D8" s="123" t="n">
        <f aca="false">C8*(1-W_GEO)</f>
        <v>0.45</v>
      </c>
    </row>
    <row r="9" customFormat="false" ht="18" hidden="false" customHeight="true" outlineLevel="0" collapsed="false">
      <c r="B9" s="136" t="s">
        <v>221</v>
      </c>
      <c r="C9" s="137" t="n">
        <v>0</v>
      </c>
      <c r="D9" s="36" t="n">
        <f aca="false">W_GEO</f>
        <v>0.1</v>
      </c>
    </row>
    <row r="10" customFormat="false" ht="18" hidden="false" customHeight="true" outlineLevel="0" collapsed="false">
      <c r="B10" s="138" t="s">
        <v>222</v>
      </c>
      <c r="C10" s="20" t="n">
        <f aca="false">SUM(C5:C9)</f>
        <v>1</v>
      </c>
      <c r="D10" s="20" t="n">
        <f aca="false">SUM(D5:D9)</f>
        <v>1</v>
      </c>
    </row>
    <row r="12" customFormat="false" ht="29.25" hidden="false" customHeight="true" outlineLevel="0" collapsed="false">
      <c r="B12" s="131" t="s">
        <v>223</v>
      </c>
      <c r="C12" s="24" t="s">
        <v>224</v>
      </c>
      <c r="D12" s="59" t="s">
        <v>29</v>
      </c>
      <c r="E12" s="59" t="s">
        <v>31</v>
      </c>
      <c r="F12" s="59" t="s">
        <v>32</v>
      </c>
      <c r="G12" s="59" t="s">
        <v>33</v>
      </c>
      <c r="H12" s="98" t="s">
        <v>34</v>
      </c>
      <c r="I12" s="98" t="s">
        <v>36</v>
      </c>
      <c r="J12" s="98" t="s">
        <v>37</v>
      </c>
      <c r="K12" s="98" t="s">
        <v>38</v>
      </c>
      <c r="L12" s="98" t="s">
        <v>39</v>
      </c>
      <c r="M12" s="24" t="s">
        <v>193</v>
      </c>
      <c r="N12" s="24" t="s">
        <v>194</v>
      </c>
    </row>
    <row r="13" customFormat="false" ht="19.5" hidden="false" customHeight="true" outlineLevel="0" collapsed="false">
      <c r="B13" s="139" t="s">
        <v>225</v>
      </c>
      <c r="C13" s="140" t="n">
        <f aca="false">AVERAGE(H13:L13)</f>
        <v>16375</v>
      </c>
      <c r="D13" s="63" t="n">
        <f aca="false">'Data 9 Negeri'!D105</f>
        <v>124450</v>
      </c>
      <c r="E13" s="63" t="n">
        <f aca="false">'Data 9 Negeri'!E105</f>
        <v>73904</v>
      </c>
      <c r="F13" s="63" t="n">
        <f aca="false">'Data 9 Negeri'!F105</f>
        <v>19210</v>
      </c>
      <c r="G13" s="63" t="n">
        <f aca="false">'Data 9 Negeri'!G105</f>
        <v>21035</v>
      </c>
      <c r="H13" s="63" t="n">
        <f aca="false">'Data 9 Negeri'!H105</f>
        <v>8104</v>
      </c>
      <c r="I13" s="63" t="n">
        <f aca="false">'Data 9 Negeri'!I105</f>
        <v>9500</v>
      </c>
      <c r="J13" s="63" t="n">
        <f aca="false">'Data 9 Negeri'!J105</f>
        <v>36137</v>
      </c>
      <c r="K13" s="63" t="n">
        <f aca="false">'Data 9 Negeri'!K105</f>
        <v>13035</v>
      </c>
      <c r="L13" s="63" t="n">
        <f aca="false">'Data 9 Negeri'!L105</f>
        <v>15099</v>
      </c>
      <c r="M13" s="140" t="n">
        <f aca="false">IFERROR(AVERAGE(H13:L13),"")</f>
        <v>16375</v>
      </c>
      <c r="N13" s="140" t="n">
        <f aca="false">IFERROR(AVERAGE(D13:G13),"")</f>
        <v>59649.75</v>
      </c>
    </row>
    <row r="14" customFormat="false" ht="19.5" hidden="false" customHeight="true" outlineLevel="0" collapsed="false">
      <c r="B14" s="139" t="s">
        <v>226</v>
      </c>
      <c r="C14" s="123" t="n">
        <f aca="false">D9</f>
        <v>0.1</v>
      </c>
      <c r="D14" s="106" t="n">
        <f aca="false">IFERROR(MIN(D13/$C$13,P_HAD),"")</f>
        <v>7.6</v>
      </c>
      <c r="E14" s="106" t="n">
        <f aca="false">IFERROR(MIN(E13/$C$13,P_HAD),"")</f>
        <v>4.5132213740458</v>
      </c>
      <c r="F14" s="106" t="n">
        <f aca="false">IFERROR(MIN(F13/$C$13,P_HAD),"")</f>
        <v>1.17312977099237</v>
      </c>
      <c r="G14" s="106" t="n">
        <f aca="false">IFERROR(MIN(G13/$C$13,P_HAD),"")</f>
        <v>1.28458015267176</v>
      </c>
      <c r="H14" s="106" t="n">
        <f aca="false">IFERROR(MIN(H13/$C$13,P_HAD),"")</f>
        <v>0.494900763358779</v>
      </c>
      <c r="I14" s="106" t="n">
        <f aca="false">IFERROR(MIN(I13/$C$13,P_HAD),"")</f>
        <v>0.580152671755725</v>
      </c>
      <c r="J14" s="106" t="n">
        <f aca="false">IFERROR(MIN(J13/$C$13,P_HAD),"")</f>
        <v>2.20683969465649</v>
      </c>
      <c r="K14" s="106" t="n">
        <f aca="false">IFERROR(MIN(K13/$C$13,P_HAD),"")</f>
        <v>0.796030534351145</v>
      </c>
      <c r="L14" s="106" t="n">
        <f aca="false">IFERROR(MIN(L13/$C$13,P_HAD),"")</f>
        <v>0.922076335877863</v>
      </c>
      <c r="M14" s="106" t="n">
        <f aca="false">IFERROR(AVERAGE(H14:L14),"")</f>
        <v>1</v>
      </c>
      <c r="N14" s="106" t="n">
        <f aca="false">IFERROR(AVERAGE(D14:G14),"")</f>
        <v>3.64273282442748</v>
      </c>
    </row>
    <row r="15" customFormat="false" ht="19.5" hidden="false" customHeight="true" outlineLevel="0" collapsed="false">
      <c r="B15" s="62" t="s">
        <v>227</v>
      </c>
      <c r="C15" s="123" t="n">
        <f aca="false">D5</f>
        <v>0.18</v>
      </c>
      <c r="D15" s="35" t="n">
        <f aca="false">'Skor Senario A'!I31</f>
        <v>1.62521250280373</v>
      </c>
      <c r="E15" s="35" t="n">
        <f aca="false">'Skor Senario A'!J31</f>
        <v>1.67182035688152</v>
      </c>
      <c r="F15" s="35" t="n">
        <f aca="false">'Skor Senario A'!K31</f>
        <v>1.32826283186898</v>
      </c>
      <c r="G15" s="35" t="n">
        <f aca="false">'Skor Senario A'!L31</f>
        <v>1.01847294583335</v>
      </c>
      <c r="H15" s="35" t="n">
        <f aca="false">'Skor Senario A'!M31</f>
        <v>1.15099742859466</v>
      </c>
      <c r="I15" s="35" t="n">
        <f aca="false">'Skor Senario A'!N31</f>
        <v>1.10942323373598</v>
      </c>
      <c r="J15" s="35" t="n">
        <f aca="false">'Skor Senario A'!O31</f>
        <v>0.959244291182156</v>
      </c>
      <c r="K15" s="35" t="n">
        <f aca="false">'Skor Senario A'!P31</f>
        <v>0.890397558777261</v>
      </c>
      <c r="L15" s="35" t="n">
        <f aca="false">'Skor Senario A'!Q31</f>
        <v>0.88993748770995</v>
      </c>
      <c r="M15" s="106" t="n">
        <f aca="false">IFERROR(AVERAGE(H15:L15),"")</f>
        <v>1</v>
      </c>
      <c r="N15" s="106" t="n">
        <f aca="false">IFERROR(AVERAGE(D15:G15),"")</f>
        <v>1.41094215934689</v>
      </c>
    </row>
    <row r="16" customFormat="false" ht="19.5" hidden="false" customHeight="true" outlineLevel="0" collapsed="false">
      <c r="B16" s="70" t="s">
        <v>228</v>
      </c>
      <c r="C16" s="123" t="n">
        <f aca="false">D6</f>
        <v>0.135</v>
      </c>
      <c r="D16" s="35" t="n">
        <f aca="false">'Skor Senario A'!I32</f>
        <v>1.35139960284314</v>
      </c>
      <c r="E16" s="35" t="n">
        <f aca="false">'Skor Senario A'!J32</f>
        <v>2.20436688409545</v>
      </c>
      <c r="F16" s="35" t="n">
        <f aca="false">'Skor Senario A'!K32</f>
        <v>1.93324340821656</v>
      </c>
      <c r="G16" s="35" t="n">
        <f aca="false">'Skor Senario A'!L32</f>
        <v>1.73109678779654</v>
      </c>
      <c r="H16" s="35" t="n">
        <f aca="false">'Skor Senario A'!M32</f>
        <v>1.08221974763573</v>
      </c>
      <c r="I16" s="35" t="n">
        <f aca="false">'Skor Senario A'!N32</f>
        <v>0.695107189995332</v>
      </c>
      <c r="J16" s="35" t="n">
        <f aca="false">'Skor Senario A'!O32</f>
        <v>1.40286520230542</v>
      </c>
      <c r="K16" s="35" t="n">
        <f aca="false">'Skor Senario A'!P32</f>
        <v>0.820514686469964</v>
      </c>
      <c r="L16" s="35" t="n">
        <f aca="false">'Skor Senario A'!Q32</f>
        <v>0.999293173593554</v>
      </c>
      <c r="M16" s="106" t="n">
        <f aca="false">IFERROR(AVERAGE(H16:L16),"")</f>
        <v>1</v>
      </c>
      <c r="N16" s="106" t="n">
        <f aca="false">IFERROR(AVERAGE(D16:G16),"")</f>
        <v>1.80502667073792</v>
      </c>
    </row>
    <row r="17" customFormat="false" ht="19.5" hidden="false" customHeight="true" outlineLevel="0" collapsed="false">
      <c r="B17" s="74" t="s">
        <v>229</v>
      </c>
      <c r="C17" s="123" t="n">
        <f aca="false">D7</f>
        <v>0.135</v>
      </c>
      <c r="D17" s="35" t="n">
        <f aca="false">'Skor Senario A'!I33</f>
        <v>3.89464657957801</v>
      </c>
      <c r="E17" s="35" t="n">
        <f aca="false">'Skor Senario A'!J33</f>
        <v>2.03513920289644</v>
      </c>
      <c r="F17" s="35" t="n">
        <f aca="false">'Skor Senario A'!K33</f>
        <v>1.46608529751233</v>
      </c>
      <c r="G17" s="35" t="n">
        <f aca="false">'Skor Senario A'!L33</f>
        <v>1.27571485406156</v>
      </c>
      <c r="H17" s="35" t="n">
        <f aca="false">'Skor Senario A'!M33</f>
        <v>1.33751543771967</v>
      </c>
      <c r="I17" s="35" t="n">
        <f aca="false">'Skor Senario A'!N33</f>
        <v>1.57533426565572</v>
      </c>
      <c r="J17" s="35" t="n">
        <f aca="false">'Skor Senario A'!O33</f>
        <v>0.585068580552558</v>
      </c>
      <c r="K17" s="35" t="n">
        <f aca="false">'Skor Senario A'!P33</f>
        <v>0.689886338375892</v>
      </c>
      <c r="L17" s="35" t="n">
        <f aca="false">'Skor Senario A'!Q33</f>
        <v>0.865662993098924</v>
      </c>
      <c r="M17" s="106" t="n">
        <f aca="false">IFERROR(AVERAGE(H17:L17),"")</f>
        <v>1.01069352308055</v>
      </c>
      <c r="N17" s="106" t="n">
        <f aca="false">IFERROR(AVERAGE(D17:G17),"")</f>
        <v>2.16789648351208</v>
      </c>
    </row>
    <row r="18" customFormat="false" ht="19.5" hidden="false" customHeight="true" outlineLevel="0" collapsed="false">
      <c r="B18" s="78" t="s">
        <v>230</v>
      </c>
      <c r="C18" s="123" t="n">
        <f aca="false">D8</f>
        <v>0.45</v>
      </c>
      <c r="D18" s="35" t="n">
        <f aca="false">'Skor Senario A'!I34</f>
        <v>2.12642503698724</v>
      </c>
      <c r="E18" s="35" t="n">
        <f aca="false">'Skor Senario A'!J34</f>
        <v>1.41876667218387</v>
      </c>
      <c r="F18" s="35" t="n">
        <f aca="false">'Skor Senario A'!K34</f>
        <v>0.754078581856128</v>
      </c>
      <c r="G18" s="35" t="n">
        <f aca="false">'Skor Senario A'!L34</f>
        <v>1.64123846592046</v>
      </c>
      <c r="H18" s="35" t="n">
        <f aca="false">'Skor Senario A'!M34</f>
        <v>1.25661090909583</v>
      </c>
      <c r="I18" s="35" t="n">
        <f aca="false">'Skor Senario A'!N34</f>
        <v>1.11510402968863</v>
      </c>
      <c r="J18" s="35" t="n">
        <f aca="false">'Skor Senario A'!O34</f>
        <v>1.14942956210692</v>
      </c>
      <c r="K18" s="35" t="n">
        <f aca="false">'Skor Senario A'!P34</f>
        <v>1.01572080529462</v>
      </c>
      <c r="L18" s="35" t="n">
        <f aca="false">'Skor Senario A'!Q34</f>
        <v>0.463134693814</v>
      </c>
      <c r="M18" s="106" t="n">
        <f aca="false">IFERROR(AVERAGE(H18:L18),"")</f>
        <v>1</v>
      </c>
      <c r="N18" s="106" t="n">
        <f aca="false">IFERROR(AVERAGE(D18:G18),"")</f>
        <v>1.48512718923692</v>
      </c>
    </row>
    <row r="20" customFormat="false" ht="19.5" hidden="false" customHeight="true" outlineLevel="0" collapsed="false">
      <c r="B20" s="141" t="s">
        <v>231</v>
      </c>
      <c r="C20" s="38"/>
      <c r="D20" s="125" t="n">
        <f aca="false">IFERROR((IF(ISNUMBER(D15),$C$15*D15,0)+IF(ISNUMBER(D16),$C$16*D16,0)+IF(ISNUMBER(D17),$C$17*D17,0)+IF(ISNUMBER(D18),$C$18*D18,0)+IF(ISNUMBER(D14),$C$14*D14,0))/(IF(ISNUMBER(D15),$C$15,0)+IF(ISNUMBER(D16),$C$16,0)+IF(ISNUMBER(D17),$C$17,0)+IF(ISNUMBER(D18),$C$18,0)+IF(ISNUMBER(D14),$C$14,0)),"")</f>
        <v>2.71764575177578</v>
      </c>
      <c r="E20" s="125" t="n">
        <f aca="false">IFERROR((IF(ISNUMBER(E15),$C$15*E15,0)+IF(ISNUMBER(E16),$C$16*E16,0)+IF(ISNUMBER(E17),$C$17*E17,0)+IF(ISNUMBER(E18),$C$18*E18,0)+IF(ISNUMBER(E14),$C$14*E14,0))/(IF(ISNUMBER(E15),$C$15,0)+IF(ISNUMBER(E16),$C$16,0)+IF(ISNUMBER(E17),$C$17,0)+IF(ISNUMBER(E18),$C$18,0)+IF(ISNUMBER(E14),$C$14,0)),"")</f>
        <v>1.9630281258699</v>
      </c>
      <c r="F20" s="125" t="n">
        <f aca="false">IFERROR((IF(ISNUMBER(F15),$C$15*F15,0)+IF(ISNUMBER(F16),$C$16*F16,0)+IF(ISNUMBER(F17),$C$17*F17,0)+IF(ISNUMBER(F18),$C$18*F18,0)+IF(ISNUMBER(F14),$C$14*F14,0))/(IF(ISNUMBER(F15),$C$15,0)+IF(ISNUMBER(F16),$C$16,0)+IF(ISNUMBER(F17),$C$17,0)+IF(ISNUMBER(F18),$C$18,0)+IF(ISNUMBER(F14),$C$14,0)),"")</f>
        <v>1.15464502394431</v>
      </c>
      <c r="G20" s="125" t="n">
        <f aca="false">IFERROR((IF(ISNUMBER(G15),$C$15*G15,0)+IF(ISNUMBER(G16),$C$16*G16,0)+IF(ISNUMBER(G17),$C$17*G17,0)+IF(ISNUMBER(G18),$C$18*G18,0)+IF(ISNUMBER(G14),$C$14*G14,0))/(IF(ISNUMBER(G15),$C$15,0)+IF(ISNUMBER(G16),$C$16,0)+IF(ISNUMBER(G17),$C$17,0)+IF(ISNUMBER(G18),$C$18,0)+IF(ISNUMBER(G14),$C$14,0)),"")</f>
        <v>1.45626002683223</v>
      </c>
      <c r="H20" s="125" t="n">
        <f aca="false">IFERROR((IF(ISNUMBER(H15),$C$15*H15,0)+IF(ISNUMBER(H16),$C$16*H16,0)+IF(ISNUMBER(H17),$C$17*H17,0)+IF(ISNUMBER(H18),$C$18*H18,0)+IF(ISNUMBER(H14),$C$14*H14,0))/(IF(ISNUMBER(H15),$C$15,0)+IF(ISNUMBER(H16),$C$16,0)+IF(ISNUMBER(H17),$C$17,0)+IF(ISNUMBER(H18),$C$18,0)+IF(ISNUMBER(H14),$C$14,0)),"")</f>
        <v>1.14880877259902</v>
      </c>
      <c r="I20" s="125" t="n">
        <f aca="false">IFERROR((IF(ISNUMBER(I15),$C$15*I15,0)+IF(ISNUMBER(I16),$C$16*I16,0)+IF(ISNUMBER(I17),$C$17*I17,0)+IF(ISNUMBER(I18),$C$18*I18,0)+IF(ISNUMBER(I14),$C$14*I14,0))/(IF(ISNUMBER(I15),$C$15,0)+IF(ISNUMBER(I16),$C$16,0)+IF(ISNUMBER(I17),$C$17,0)+IF(ISNUMBER(I18),$C$18,0)+IF(ISNUMBER(I14),$C$14,0)),"")</f>
        <v>1.06601785912082</v>
      </c>
      <c r="J20" s="125" t="n">
        <f aca="false">IFERROR((IF(ISNUMBER(J15),$C$15*J15,0)+IF(ISNUMBER(J16),$C$16*J16,0)+IF(ISNUMBER(J17),$C$17*J17,0)+IF(ISNUMBER(J18),$C$18*J18,0)+IF(ISNUMBER(J14),$C$14*J14,0))/(IF(ISNUMBER(J15),$C$15,0)+IF(ISNUMBER(J16),$C$16,0)+IF(ISNUMBER(J17),$C$17,0)+IF(ISNUMBER(J18),$C$18,0)+IF(ISNUMBER(J14),$C$14,0)),"")</f>
        <v>1.17896230551238</v>
      </c>
      <c r="K20" s="125" t="n">
        <f aca="false">IFERROR((IF(ISNUMBER(K15),$C$15*K15,0)+IF(ISNUMBER(K16),$C$16*K16,0)+IF(ISNUMBER(K17),$C$17*K17,0)+IF(ISNUMBER(K18),$C$18*K18,0)+IF(ISNUMBER(K14),$C$14*K14,0))/(IF(ISNUMBER(K15),$C$15,0)+IF(ISNUMBER(K16),$C$16,0)+IF(ISNUMBER(K17),$C$17,0)+IF(ISNUMBER(K18),$C$18,0)+IF(ISNUMBER(K14),$C$14,0)),"")</f>
        <v>0.900853114751789</v>
      </c>
      <c r="L20" s="125" t="n">
        <f aca="false">IFERROR((IF(ISNUMBER(L15),$C$15*L15,0)+IF(ISNUMBER(L16),$C$16*L16,0)+IF(ISNUMBER(L17),$C$17*L17,0)+IF(ISNUMBER(L18),$C$18*L18,0)+IF(ISNUMBER(L14),$C$14*L14,0))/(IF(ISNUMBER(L15),$C$15,0)+IF(ISNUMBER(L16),$C$16,0)+IF(ISNUMBER(L17),$C$17,0)+IF(ISNUMBER(L18),$C$18,0)+IF(ISNUMBER(L14),$C$14,0)),"")</f>
        <v>0.712576076095362</v>
      </c>
      <c r="M20" s="39" t="n">
        <f aca="false">IFERROR(AVERAGE(H20:L20),"")</f>
        <v>1.00144362561587</v>
      </c>
      <c r="N20" s="39" t="n">
        <f aca="false">IFERROR(AVERAGE(D20:G20),"")</f>
        <v>1.82289473210556</v>
      </c>
    </row>
    <row r="21" customFormat="false" ht="19.5" hidden="false" customHeight="true" outlineLevel="0" collapsed="false">
      <c r="B21" s="142" t="s">
        <v>232</v>
      </c>
      <c r="C21" s="81"/>
      <c r="D21" s="126" t="n">
        <f aca="false">IFERROR(RANK(D20,$D$20:$L$20),"")</f>
        <v>1</v>
      </c>
      <c r="E21" s="126" t="n">
        <f aca="false">IFERROR(RANK(E20,$D$20:$L$20),"")</f>
        <v>2</v>
      </c>
      <c r="F21" s="126" t="n">
        <f aca="false">IFERROR(RANK(F20,$D$20:$L$20),"")</f>
        <v>5</v>
      </c>
      <c r="G21" s="126" t="n">
        <f aca="false">IFERROR(RANK(G20,$D$20:$L$20),"")</f>
        <v>3</v>
      </c>
      <c r="H21" s="126" t="n">
        <f aca="false">IFERROR(RANK(H20,$D$20:$L$20),"")</f>
        <v>6</v>
      </c>
      <c r="I21" s="126" t="n">
        <f aca="false">IFERROR(RANK(I20,$D$20:$L$20),"")</f>
        <v>7</v>
      </c>
      <c r="J21" s="126" t="n">
        <f aca="false">IFERROR(RANK(J20,$D$20:$L$20),"")</f>
        <v>4</v>
      </c>
      <c r="K21" s="126" t="n">
        <f aca="false">IFERROR(RANK(K20,$D$20:$L$20),"")</f>
        <v>8</v>
      </c>
      <c r="L21" s="126" t="n">
        <f aca="false">IFERROR(RANK(L20,$D$20:$L$20),"")</f>
        <v>9</v>
      </c>
      <c r="M21" s="81"/>
      <c r="N21" s="81"/>
    </row>
    <row r="22" customFormat="false" ht="19.5" hidden="false" customHeight="true" outlineLevel="0" collapsed="false">
      <c r="B22" s="142" t="s">
        <v>233</v>
      </c>
      <c r="C22" s="81"/>
      <c r="D22" s="35" t="n">
        <f aca="false">'Skor Senario A'!I38</f>
        <v>2.17516194641754</v>
      </c>
      <c r="E22" s="35" t="n">
        <f aca="false">'Skor Senario A'!J38</f>
        <v>1.67967332051702</v>
      </c>
      <c r="F22" s="35" t="n">
        <f aca="false">'Skor Senario A'!K38</f>
        <v>1.15259116316119</v>
      </c>
      <c r="G22" s="35" t="n">
        <f aca="false">'Skor Senario A'!L38</f>
        <v>1.47533556840561</v>
      </c>
      <c r="H22" s="35" t="n">
        <f aca="false">'Skor Senario A'!M38</f>
        <v>1.22146521807016</v>
      </c>
      <c r="I22" s="35" t="n">
        <f aca="false">'Skor Senario A'!N38</f>
        <v>1.12000287993917</v>
      </c>
      <c r="J22" s="35" t="n">
        <f aca="false">'Skor Senario A'!O38</f>
        <v>1.06475370671859</v>
      </c>
      <c r="K22" s="35" t="n">
        <f aca="false">'Skor Senario A'!P38</f>
        <v>0.912500068129639</v>
      </c>
      <c r="L22" s="35" t="n">
        <f aca="false">'Skor Senario A'!Q38</f>
        <v>0.689298269452862</v>
      </c>
      <c r="M22" s="106" t="n">
        <f aca="false">IFERROR(AVERAGE(H22:L22),"")</f>
        <v>1.00160402846208</v>
      </c>
      <c r="N22" s="106" t="n">
        <f aca="false">IFERROR(AVERAGE(D22:G22),"")</f>
        <v>1.62069049962534</v>
      </c>
    </row>
    <row r="23" customFormat="false" ht="19.5" hidden="false" customHeight="true" outlineLevel="0" collapsed="false">
      <c r="B23" s="142" t="s">
        <v>234</v>
      </c>
      <c r="C23" s="81"/>
      <c r="D23" s="143" t="n">
        <f aca="false">IFERROR(D20-D22,"")</f>
        <v>0.542483805358246</v>
      </c>
      <c r="E23" s="143" t="n">
        <f aca="false">IFERROR(E20-E22,"")</f>
        <v>0.283354805352878</v>
      </c>
      <c r="F23" s="143" t="n">
        <f aca="false">IFERROR(F20-F22,"")</f>
        <v>0.00205386078311731</v>
      </c>
      <c r="G23" s="143" t="n">
        <f aca="false">IFERROR(G20-G22,"")</f>
        <v>-0.0190755415733859</v>
      </c>
      <c r="H23" s="143" t="n">
        <f aca="false">IFERROR(H20-H22,"")</f>
        <v>-0.072656445471138</v>
      </c>
      <c r="I23" s="143" t="n">
        <f aca="false">IFERROR(I20-I22,"")</f>
        <v>-0.0539850208183446</v>
      </c>
      <c r="J23" s="143" t="n">
        <f aca="false">IFERROR(J20-J22,"")</f>
        <v>0.11420859879379</v>
      </c>
      <c r="K23" s="143" t="n">
        <f aca="false">IFERROR(K20-K22,"")</f>
        <v>-0.0116469533778495</v>
      </c>
      <c r="L23" s="143" t="n">
        <f aca="false">IFERROR(L20-L22,"")</f>
        <v>0.0232778066425</v>
      </c>
      <c r="M23" s="143" t="n">
        <f aca="false">IFERROR(AVERAGE(H23:L23),"")</f>
        <v>-0.000160402846208418</v>
      </c>
      <c r="N23" s="143" t="n">
        <f aca="false">IFERROR(AVERAGE(D23:G23),"")</f>
        <v>0.202204232480214</v>
      </c>
    </row>
    <row r="26" customFormat="false" ht="19.5" hidden="false" customHeight="true" outlineLevel="0" collapsed="false">
      <c r="B26" s="144" t="s">
        <v>235</v>
      </c>
      <c r="C26" s="144"/>
      <c r="D26" s="144"/>
      <c r="E26" s="144"/>
      <c r="F26" s="144"/>
      <c r="G26" s="144"/>
      <c r="H26" s="144"/>
      <c r="I26" s="144"/>
      <c r="J26" s="144"/>
      <c r="K26" s="144"/>
      <c r="L26" s="144"/>
      <c r="M26" s="144"/>
      <c r="N26" s="144"/>
    </row>
    <row r="27" customFormat="false" ht="31.5" hidden="false" customHeight="true" outlineLevel="0" collapsed="false">
      <c r="B27" s="45" t="s">
        <v>236</v>
      </c>
      <c r="C27" s="46" t="s">
        <v>237</v>
      </c>
      <c r="D27" s="46"/>
      <c r="E27" s="46"/>
      <c r="F27" s="46"/>
      <c r="G27" s="46"/>
      <c r="H27" s="46"/>
      <c r="I27" s="46"/>
      <c r="J27" s="46"/>
      <c r="K27" s="46"/>
      <c r="L27" s="46"/>
      <c r="M27" s="46"/>
      <c r="N27" s="46"/>
    </row>
    <row r="28" customFormat="false" ht="31.5" hidden="false" customHeight="true" outlineLevel="0" collapsed="false">
      <c r="B28" s="51" t="s">
        <v>238</v>
      </c>
      <c r="C28" s="52" t="s">
        <v>239</v>
      </c>
      <c r="D28" s="52"/>
      <c r="E28" s="52"/>
      <c r="F28" s="52"/>
      <c r="G28" s="52"/>
      <c r="H28" s="52"/>
      <c r="I28" s="52"/>
      <c r="J28" s="52"/>
      <c r="K28" s="52"/>
      <c r="L28" s="52"/>
      <c r="M28" s="52"/>
      <c r="N28" s="52"/>
    </row>
    <row r="29" customFormat="false" ht="31.5" hidden="false" customHeight="true" outlineLevel="0" collapsed="false">
      <c r="B29" s="53" t="s">
        <v>240</v>
      </c>
      <c r="C29" s="54" t="s">
        <v>241</v>
      </c>
      <c r="D29" s="54"/>
      <c r="E29" s="54"/>
      <c r="F29" s="54"/>
      <c r="G29" s="54"/>
      <c r="H29" s="54"/>
      <c r="I29" s="54"/>
      <c r="J29" s="54"/>
      <c r="K29" s="54"/>
      <c r="L29" s="54"/>
      <c r="M29" s="54"/>
      <c r="N29" s="54"/>
    </row>
  </sheetData>
  <mergeCells count="6">
    <mergeCell ref="B1:N1"/>
    <mergeCell ref="B2:N2"/>
    <mergeCell ref="B26:N26"/>
    <mergeCell ref="C27:N27"/>
    <mergeCell ref="C28:N28"/>
    <mergeCell ref="C29:N29"/>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M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0"/>
    <col collapsed="false" customWidth="true" hidden="false" outlineLevel="0" max="12" min="4" style="0" width="13"/>
    <col collapsed="false" customWidth="true" hidden="false" outlineLevel="0" max="13" min="13" style="0" width="84"/>
  </cols>
  <sheetData>
    <row r="1" customFormat="false" ht="30" hidden="false" customHeight="true" outlineLevel="0" collapsed="false">
      <c r="A1" s="1" t="s">
        <v>242</v>
      </c>
      <c r="B1" s="1"/>
      <c r="C1" s="1"/>
      <c r="D1" s="1"/>
      <c r="E1" s="1"/>
      <c r="F1" s="1"/>
      <c r="G1" s="1"/>
      <c r="H1" s="1"/>
      <c r="I1" s="1"/>
      <c r="J1" s="1"/>
      <c r="K1" s="1"/>
      <c r="L1" s="1"/>
      <c r="M1" s="1"/>
    </row>
    <row r="2" customFormat="false" ht="31.5" hidden="false" customHeight="true" outlineLevel="0" collapsed="false">
      <c r="A2" s="2" t="s">
        <v>243</v>
      </c>
      <c r="B2" s="2"/>
      <c r="C2" s="2"/>
      <c r="D2" s="2"/>
      <c r="E2" s="2"/>
      <c r="F2" s="2"/>
      <c r="G2" s="2"/>
      <c r="H2" s="2"/>
      <c r="I2" s="2"/>
      <c r="J2" s="2"/>
      <c r="K2" s="2"/>
      <c r="L2" s="2"/>
      <c r="M2" s="2"/>
    </row>
    <row r="3" customFormat="false" ht="18" hidden="false" customHeight="true" outlineLevel="0" collapsed="false">
      <c r="A3" s="145" t="s">
        <v>157</v>
      </c>
      <c r="B3" s="145" t="s">
        <v>59</v>
      </c>
      <c r="C3" s="145" t="s">
        <v>158</v>
      </c>
      <c r="D3" s="145" t="s">
        <v>29</v>
      </c>
      <c r="E3" s="145" t="s">
        <v>31</v>
      </c>
      <c r="F3" s="145" t="s">
        <v>32</v>
      </c>
      <c r="G3" s="145" t="s">
        <v>33</v>
      </c>
      <c r="H3" s="146" t="s">
        <v>34</v>
      </c>
      <c r="I3" s="146" t="s">
        <v>36</v>
      </c>
      <c r="J3" s="146" t="s">
        <v>37</v>
      </c>
      <c r="K3" s="146" t="s">
        <v>38</v>
      </c>
      <c r="L3" s="146" t="s">
        <v>39</v>
      </c>
      <c r="M3" s="145" t="s">
        <v>244</v>
      </c>
    </row>
    <row r="4" customFormat="false" ht="19.5" hidden="false" customHeight="true" outlineLevel="0" collapsed="false">
      <c r="A4" s="4" t="s">
        <v>245</v>
      </c>
      <c r="B4" s="4"/>
      <c r="C4" s="4"/>
      <c r="D4" s="4"/>
      <c r="E4" s="4"/>
      <c r="F4" s="4"/>
      <c r="G4" s="4"/>
      <c r="H4" s="4"/>
      <c r="I4" s="4"/>
      <c r="J4" s="4"/>
      <c r="K4" s="4"/>
      <c r="L4" s="4"/>
      <c r="M4" s="4"/>
    </row>
    <row r="5" customFormat="false" ht="31.5" hidden="false" customHeight="true" outlineLevel="0" collapsed="false">
      <c r="A5" s="99" t="s">
        <v>166</v>
      </c>
      <c r="B5" s="100" t="s">
        <v>66</v>
      </c>
      <c r="C5" s="62" t="s">
        <v>67</v>
      </c>
      <c r="D5" s="81"/>
      <c r="E5" s="81"/>
      <c r="F5" s="81"/>
      <c r="G5" s="81"/>
      <c r="H5" s="147" t="n">
        <v>1049</v>
      </c>
      <c r="I5" s="147" t="n">
        <v>803</v>
      </c>
      <c r="J5" s="147" t="n">
        <v>879</v>
      </c>
      <c r="K5" s="147" t="n">
        <v>839</v>
      </c>
      <c r="L5" s="147" t="n">
        <v>733</v>
      </c>
      <c r="M5" s="65" t="s">
        <v>246</v>
      </c>
    </row>
    <row r="6" customFormat="false" ht="31.5" hidden="false" customHeight="true" outlineLevel="0" collapsed="false">
      <c r="A6" s="99" t="s">
        <v>167</v>
      </c>
      <c r="B6" s="100" t="s">
        <v>66</v>
      </c>
      <c r="C6" s="62" t="s">
        <v>70</v>
      </c>
      <c r="D6" s="81"/>
      <c r="E6" s="81"/>
      <c r="F6" s="81"/>
      <c r="G6" s="81"/>
      <c r="H6" s="147" t="n">
        <v>38</v>
      </c>
      <c r="I6" s="147" t="n">
        <v>56</v>
      </c>
      <c r="J6" s="147" t="n">
        <v>35</v>
      </c>
      <c r="K6" s="147" t="n">
        <v>31</v>
      </c>
      <c r="L6" s="147" t="n">
        <v>37</v>
      </c>
      <c r="M6" s="65" t="s">
        <v>246</v>
      </c>
    </row>
    <row r="7" customFormat="false" ht="31.5" hidden="false" customHeight="true" outlineLevel="0" collapsed="false">
      <c r="A7" s="99" t="s">
        <v>168</v>
      </c>
      <c r="B7" s="100" t="s">
        <v>66</v>
      </c>
      <c r="C7" s="62" t="s">
        <v>73</v>
      </c>
      <c r="D7" s="81"/>
      <c r="E7" s="81"/>
      <c r="F7" s="81"/>
      <c r="G7" s="81"/>
      <c r="H7" s="147" t="n">
        <v>942</v>
      </c>
      <c r="I7" s="147" t="n">
        <v>793</v>
      </c>
      <c r="J7" s="147" t="n">
        <v>879</v>
      </c>
      <c r="K7" s="147" t="n">
        <v>832</v>
      </c>
      <c r="L7" s="147" t="n">
        <v>770</v>
      </c>
      <c r="M7" s="65" t="s">
        <v>246</v>
      </c>
    </row>
    <row r="8" customFormat="false" ht="31.5" hidden="false" customHeight="true" outlineLevel="0" collapsed="false">
      <c r="A8" s="99" t="s">
        <v>169</v>
      </c>
      <c r="B8" s="100" t="s">
        <v>66</v>
      </c>
      <c r="C8" s="62" t="s">
        <v>76</v>
      </c>
      <c r="D8" s="81"/>
      <c r="E8" s="81"/>
      <c r="F8" s="81"/>
      <c r="G8" s="81"/>
      <c r="H8" s="147" t="n">
        <v>130</v>
      </c>
      <c r="I8" s="147" t="n">
        <v>191</v>
      </c>
      <c r="J8" s="147" t="n">
        <v>116</v>
      </c>
      <c r="K8" s="147" t="n">
        <v>102</v>
      </c>
      <c r="L8" s="147" t="n">
        <v>116</v>
      </c>
      <c r="M8" s="65" t="s">
        <v>246</v>
      </c>
    </row>
    <row r="9" customFormat="false" ht="31.5" hidden="false" customHeight="true" outlineLevel="0" collapsed="false">
      <c r="A9" s="99" t="s">
        <v>170</v>
      </c>
      <c r="B9" s="100" t="s">
        <v>66</v>
      </c>
      <c r="C9" s="62" t="s">
        <v>79</v>
      </c>
      <c r="D9" s="81"/>
      <c r="E9" s="81"/>
      <c r="F9" s="81"/>
      <c r="G9" s="81"/>
      <c r="H9" s="147" t="n">
        <v>1081</v>
      </c>
      <c r="I9" s="147" t="n">
        <v>860</v>
      </c>
      <c r="J9" s="147" t="n">
        <v>914</v>
      </c>
      <c r="K9" s="147" t="n">
        <v>837</v>
      </c>
      <c r="L9" s="147" t="n">
        <v>771</v>
      </c>
      <c r="M9" s="65" t="s">
        <v>247</v>
      </c>
    </row>
    <row r="10" customFormat="false" ht="31.5" hidden="false" customHeight="true" outlineLevel="0" collapsed="false">
      <c r="A10" s="99" t="s">
        <v>171</v>
      </c>
      <c r="B10" s="100" t="s">
        <v>66</v>
      </c>
      <c r="C10" s="62" t="s">
        <v>82</v>
      </c>
      <c r="D10" s="81"/>
      <c r="E10" s="81"/>
      <c r="F10" s="81"/>
      <c r="G10" s="81"/>
      <c r="H10" s="147" t="n">
        <v>25695</v>
      </c>
      <c r="I10" s="147" t="n">
        <v>16794</v>
      </c>
      <c r="J10" s="147" t="n">
        <v>15647</v>
      </c>
      <c r="K10" s="147" t="n">
        <v>18258</v>
      </c>
      <c r="L10" s="147" t="n">
        <v>15723</v>
      </c>
      <c r="M10" s="65" t="s">
        <v>248</v>
      </c>
    </row>
    <row r="11" customFormat="false" ht="31.5" hidden="false" customHeight="true" outlineLevel="0" collapsed="false">
      <c r="A11" s="99" t="s">
        <v>172</v>
      </c>
      <c r="B11" s="100" t="s">
        <v>66</v>
      </c>
      <c r="C11" s="62" t="s">
        <v>85</v>
      </c>
      <c r="D11" s="81"/>
      <c r="E11" s="81"/>
      <c r="F11" s="81"/>
      <c r="G11" s="81"/>
      <c r="H11" s="147" t="n">
        <v>804</v>
      </c>
      <c r="I11" s="147" t="n">
        <v>1148</v>
      </c>
      <c r="J11" s="147" t="n">
        <v>716</v>
      </c>
      <c r="K11" s="147" t="n">
        <v>594</v>
      </c>
      <c r="L11" s="147" t="n">
        <v>717</v>
      </c>
      <c r="M11" s="65" t="s">
        <v>249</v>
      </c>
    </row>
    <row r="12" customFormat="false" ht="31.5" hidden="false" customHeight="true" outlineLevel="0" collapsed="false">
      <c r="A12" s="99" t="s">
        <v>173</v>
      </c>
      <c r="B12" s="100" t="s">
        <v>66</v>
      </c>
      <c r="C12" s="62" t="s">
        <v>88</v>
      </c>
      <c r="D12" s="81"/>
      <c r="E12" s="81"/>
      <c r="F12" s="81"/>
      <c r="G12" s="81"/>
      <c r="H12" s="147" t="n">
        <v>20</v>
      </c>
      <c r="I12" s="147" t="n">
        <v>16</v>
      </c>
      <c r="J12" s="147" t="n">
        <v>19</v>
      </c>
      <c r="K12" s="147" t="n">
        <v>16</v>
      </c>
      <c r="L12" s="147" t="n">
        <v>17</v>
      </c>
      <c r="M12" s="65" t="s">
        <v>250</v>
      </c>
    </row>
    <row r="13" customFormat="false" ht="31.5" hidden="false" customHeight="true" outlineLevel="0" collapsed="false">
      <c r="A13" s="107" t="s">
        <v>174</v>
      </c>
      <c r="B13" s="108" t="s">
        <v>91</v>
      </c>
      <c r="C13" s="70" t="s">
        <v>92</v>
      </c>
      <c r="D13" s="81"/>
      <c r="E13" s="81"/>
      <c r="F13" s="81"/>
      <c r="G13" s="81"/>
      <c r="H13" s="147" t="n">
        <v>64</v>
      </c>
      <c r="I13" s="147" t="n">
        <v>45</v>
      </c>
      <c r="J13" s="147" t="n">
        <v>207</v>
      </c>
      <c r="K13" s="147" t="n">
        <v>67</v>
      </c>
      <c r="L13" s="147" t="n">
        <v>38</v>
      </c>
      <c r="M13" s="65" t="s">
        <v>246</v>
      </c>
    </row>
    <row r="14" customFormat="false" ht="31.5" hidden="false" customHeight="true" outlineLevel="0" collapsed="false">
      <c r="A14" s="107" t="s">
        <v>175</v>
      </c>
      <c r="B14" s="108" t="s">
        <v>91</v>
      </c>
      <c r="C14" s="70" t="s">
        <v>95</v>
      </c>
      <c r="D14" s="81"/>
      <c r="E14" s="81"/>
      <c r="F14" s="81"/>
      <c r="G14" s="81"/>
      <c r="H14" s="147" t="n">
        <v>165</v>
      </c>
      <c r="I14" s="147" t="n">
        <v>52</v>
      </c>
      <c r="J14" s="147" t="n">
        <v>163</v>
      </c>
      <c r="K14" s="147" t="n">
        <v>82</v>
      </c>
      <c r="L14" s="147" t="n">
        <v>100</v>
      </c>
      <c r="M14" s="65" t="s">
        <v>251</v>
      </c>
    </row>
    <row r="15" customFormat="false" ht="31.5" hidden="false" customHeight="true" outlineLevel="0" collapsed="false">
      <c r="A15" s="107" t="s">
        <v>176</v>
      </c>
      <c r="B15" s="108" t="s">
        <v>91</v>
      </c>
      <c r="C15" s="70" t="s">
        <v>98</v>
      </c>
      <c r="D15" s="81"/>
      <c r="E15" s="81"/>
      <c r="F15" s="81"/>
      <c r="G15" s="81"/>
      <c r="H15" s="147" t="n">
        <v>59</v>
      </c>
      <c r="I15" s="147" t="n">
        <v>37</v>
      </c>
      <c r="J15" s="147" t="n">
        <v>44</v>
      </c>
      <c r="K15" s="147" t="n">
        <v>59</v>
      </c>
      <c r="L15" s="147" t="n">
        <v>36</v>
      </c>
      <c r="M15" s="65" t="s">
        <v>246</v>
      </c>
    </row>
    <row r="16" customFormat="false" ht="31.5" hidden="false" customHeight="true" outlineLevel="0" collapsed="false">
      <c r="A16" s="107" t="s">
        <v>177</v>
      </c>
      <c r="B16" s="108" t="s">
        <v>91</v>
      </c>
      <c r="C16" s="70" t="s">
        <v>101</v>
      </c>
      <c r="D16" s="81"/>
      <c r="E16" s="81"/>
      <c r="F16" s="81"/>
      <c r="G16" s="81"/>
      <c r="H16" s="147" t="n">
        <v>3292</v>
      </c>
      <c r="I16" s="147" t="n">
        <v>234</v>
      </c>
      <c r="J16" s="147" t="n">
        <v>2734</v>
      </c>
      <c r="K16" s="147" t="n">
        <v>1192</v>
      </c>
      <c r="L16" s="147" t="n">
        <v>1266</v>
      </c>
      <c r="M16" s="65" t="s">
        <v>246</v>
      </c>
    </row>
    <row r="17" customFormat="false" ht="31.5" hidden="false" customHeight="true" outlineLevel="0" collapsed="false">
      <c r="A17" s="110" t="s">
        <v>178</v>
      </c>
      <c r="B17" s="111" t="s">
        <v>104</v>
      </c>
      <c r="C17" s="74" t="s">
        <v>105</v>
      </c>
      <c r="D17" s="81"/>
      <c r="E17" s="81"/>
      <c r="F17" s="81"/>
      <c r="G17" s="81"/>
      <c r="H17" s="147" t="n">
        <v>373</v>
      </c>
      <c r="I17" s="147" t="n">
        <v>2453</v>
      </c>
      <c r="J17" s="147" t="n">
        <v>607</v>
      </c>
      <c r="K17" s="147" t="n">
        <v>1095</v>
      </c>
      <c r="L17" s="147" t="n">
        <v>636</v>
      </c>
      <c r="M17" s="65" t="s">
        <v>246</v>
      </c>
    </row>
    <row r="18" customFormat="false" ht="31.5" hidden="false" customHeight="true" outlineLevel="0" collapsed="false">
      <c r="A18" s="110" t="s">
        <v>179</v>
      </c>
      <c r="B18" s="111" t="s">
        <v>104</v>
      </c>
      <c r="C18" s="74" t="s">
        <v>107</v>
      </c>
      <c r="D18" s="81"/>
      <c r="E18" s="81"/>
      <c r="F18" s="81"/>
      <c r="G18" s="81"/>
      <c r="H18" s="147" t="n">
        <v>3592000</v>
      </c>
      <c r="I18" s="147" t="n">
        <v>2170900</v>
      </c>
      <c r="J18" s="147" t="n">
        <v>1338885.542</v>
      </c>
      <c r="K18" s="147" t="n">
        <v>1178412</v>
      </c>
      <c r="L18" s="147" t="n">
        <v>1797501</v>
      </c>
      <c r="M18" s="65" t="s">
        <v>252</v>
      </c>
    </row>
    <row r="19" customFormat="false" ht="31.5" hidden="false" customHeight="true" outlineLevel="0" collapsed="false">
      <c r="A19" s="110" t="s">
        <v>180</v>
      </c>
      <c r="B19" s="111" t="s">
        <v>104</v>
      </c>
      <c r="C19" s="74" t="s">
        <v>109</v>
      </c>
      <c r="D19" s="81"/>
      <c r="E19" s="81"/>
      <c r="F19" s="81"/>
      <c r="G19" s="81"/>
      <c r="H19" s="147" t="n">
        <v>102</v>
      </c>
      <c r="I19" s="148" t="s">
        <v>253</v>
      </c>
      <c r="J19" s="148" t="s">
        <v>254</v>
      </c>
      <c r="K19" s="147" t="n">
        <v>54</v>
      </c>
      <c r="L19" s="147" t="n">
        <v>123</v>
      </c>
      <c r="M19" s="65" t="s">
        <v>255</v>
      </c>
    </row>
    <row r="20" customFormat="false" ht="31.5" hidden="false" customHeight="true" outlineLevel="0" collapsed="false">
      <c r="A20" s="110" t="s">
        <v>181</v>
      </c>
      <c r="B20" s="111" t="s">
        <v>104</v>
      </c>
      <c r="C20" s="74" t="s">
        <v>101</v>
      </c>
      <c r="D20" s="81"/>
      <c r="E20" s="81"/>
      <c r="F20" s="81"/>
      <c r="G20" s="81"/>
      <c r="H20" s="147" t="n">
        <v>3404</v>
      </c>
      <c r="I20" s="148" t="s">
        <v>256</v>
      </c>
      <c r="J20" s="148" t="s">
        <v>256</v>
      </c>
      <c r="K20" s="148" t="s">
        <v>256</v>
      </c>
      <c r="L20" s="147" t="n">
        <v>13803</v>
      </c>
      <c r="M20" s="65" t="s">
        <v>257</v>
      </c>
    </row>
    <row r="21" customFormat="false" ht="31.5" hidden="false" customHeight="true" outlineLevel="0" collapsed="false">
      <c r="A21" s="113" t="s">
        <v>182</v>
      </c>
      <c r="B21" s="114" t="s">
        <v>114</v>
      </c>
      <c r="C21" s="78" t="s">
        <v>115</v>
      </c>
      <c r="D21" s="81"/>
      <c r="E21" s="81"/>
      <c r="F21" s="81"/>
      <c r="G21" s="81"/>
      <c r="H21" s="148" t="s">
        <v>258</v>
      </c>
      <c r="I21" s="148" t="s">
        <v>258</v>
      </c>
      <c r="J21" s="147" t="n">
        <v>37916</v>
      </c>
      <c r="K21" s="148" t="s">
        <v>258</v>
      </c>
      <c r="L21" s="148" t="s">
        <v>258</v>
      </c>
      <c r="M21" s="65" t="s">
        <v>259</v>
      </c>
    </row>
    <row r="22" customFormat="false" ht="31.5" hidden="false" customHeight="true" outlineLevel="0" collapsed="false">
      <c r="A22" s="113" t="s">
        <v>183</v>
      </c>
      <c r="B22" s="114" t="s">
        <v>114</v>
      </c>
      <c r="C22" s="78" t="s">
        <v>118</v>
      </c>
      <c r="D22" s="81"/>
      <c r="E22" s="81"/>
      <c r="F22" s="81"/>
      <c r="G22" s="81"/>
      <c r="H22" s="148" t="s">
        <v>258</v>
      </c>
      <c r="I22" s="148" t="s">
        <v>258</v>
      </c>
      <c r="J22" s="147" t="n">
        <v>808</v>
      </c>
      <c r="K22" s="148" t="s">
        <v>258</v>
      </c>
      <c r="L22" s="147" t="n">
        <v>726</v>
      </c>
      <c r="M22" s="65" t="s">
        <v>260</v>
      </c>
    </row>
    <row r="23" customFormat="false" ht="31.5" hidden="false" customHeight="true" outlineLevel="0" collapsed="false">
      <c r="A23" s="113" t="s">
        <v>184</v>
      </c>
      <c r="B23" s="114" t="s">
        <v>114</v>
      </c>
      <c r="C23" s="78" t="s">
        <v>121</v>
      </c>
      <c r="D23" s="81"/>
      <c r="E23" s="81"/>
      <c r="F23" s="81"/>
      <c r="G23" s="81"/>
      <c r="H23" s="148" t="s">
        <v>258</v>
      </c>
      <c r="I23" s="148" t="s">
        <v>258</v>
      </c>
      <c r="J23" s="147" t="n">
        <v>83041540.4</v>
      </c>
      <c r="K23" s="148" t="s">
        <v>258</v>
      </c>
      <c r="L23" s="147" t="n">
        <v>75867626.75</v>
      </c>
      <c r="M23" s="65" t="s">
        <v>261</v>
      </c>
    </row>
    <row r="24" customFormat="false" ht="31.5" hidden="false" customHeight="true" outlineLevel="0" collapsed="false">
      <c r="A24" s="113" t="s">
        <v>185</v>
      </c>
      <c r="B24" s="114" t="s">
        <v>114</v>
      </c>
      <c r="C24" s="78" t="s">
        <v>124</v>
      </c>
      <c r="D24" s="81"/>
      <c r="E24" s="81"/>
      <c r="F24" s="81"/>
      <c r="G24" s="81"/>
      <c r="H24" s="148" t="s">
        <v>258</v>
      </c>
      <c r="I24" s="148" t="s">
        <v>258</v>
      </c>
      <c r="J24" s="147" t="n">
        <v>1849640</v>
      </c>
      <c r="K24" s="148" t="s">
        <v>258</v>
      </c>
      <c r="L24" s="147" t="n">
        <v>1527000</v>
      </c>
      <c r="M24" s="65" t="s">
        <v>261</v>
      </c>
    </row>
    <row r="25" customFormat="false" ht="31.5" hidden="false" customHeight="true" outlineLevel="0" collapsed="false">
      <c r="A25" s="113" t="s">
        <v>186</v>
      </c>
      <c r="B25" s="114" t="s">
        <v>114</v>
      </c>
      <c r="C25" s="78" t="s">
        <v>127</v>
      </c>
      <c r="D25" s="81"/>
      <c r="E25" s="81"/>
      <c r="F25" s="81"/>
      <c r="G25" s="81"/>
      <c r="H25" s="148" t="s">
        <v>258</v>
      </c>
      <c r="I25" s="148" t="s">
        <v>258</v>
      </c>
      <c r="J25" s="147" t="n">
        <v>3568</v>
      </c>
      <c r="K25" s="148" t="s">
        <v>258</v>
      </c>
      <c r="L25" s="148" t="s">
        <v>258</v>
      </c>
      <c r="M25" s="65" t="s">
        <v>262</v>
      </c>
    </row>
    <row r="26" customFormat="false" ht="31.5" hidden="false" customHeight="true" outlineLevel="0" collapsed="false">
      <c r="A26" s="113" t="s">
        <v>187</v>
      </c>
      <c r="B26" s="114" t="s">
        <v>114</v>
      </c>
      <c r="C26" s="78" t="s">
        <v>130</v>
      </c>
      <c r="D26" s="81"/>
      <c r="E26" s="81"/>
      <c r="F26" s="81"/>
      <c r="G26" s="81"/>
      <c r="H26" s="147" t="n">
        <v>278</v>
      </c>
      <c r="I26" s="147" t="n">
        <v>250</v>
      </c>
      <c r="J26" s="147" t="n">
        <v>259</v>
      </c>
      <c r="K26" s="147" t="n">
        <v>184</v>
      </c>
      <c r="L26" s="147" t="n">
        <v>31</v>
      </c>
      <c r="M26" s="65" t="s">
        <v>263</v>
      </c>
    </row>
    <row r="27" customFormat="false" ht="31.5" hidden="false" customHeight="true" outlineLevel="0" collapsed="false">
      <c r="A27" s="113" t="s">
        <v>188</v>
      </c>
      <c r="B27" s="114" t="s">
        <v>114</v>
      </c>
      <c r="C27" s="78" t="s">
        <v>133</v>
      </c>
      <c r="D27" s="81"/>
      <c r="E27" s="81"/>
      <c r="F27" s="81"/>
      <c r="G27" s="81"/>
      <c r="H27" s="147" t="n">
        <v>1328</v>
      </c>
      <c r="I27" s="147" t="n">
        <v>1159</v>
      </c>
      <c r="J27" s="147" t="n">
        <v>1187</v>
      </c>
      <c r="K27" s="147" t="n">
        <v>1313</v>
      </c>
      <c r="L27" s="147" t="n">
        <v>910</v>
      </c>
      <c r="M27" s="65" t="s">
        <v>246</v>
      </c>
    </row>
    <row r="29" customFormat="false" ht="19.5" hidden="false" customHeight="true" outlineLevel="0" collapsed="false">
      <c r="A29" s="149" t="s">
        <v>264</v>
      </c>
      <c r="B29" s="149"/>
      <c r="C29" s="149"/>
      <c r="D29" s="149"/>
      <c r="E29" s="149"/>
      <c r="F29" s="149"/>
      <c r="G29" s="149"/>
      <c r="H29" s="149"/>
      <c r="I29" s="149"/>
      <c r="J29" s="149"/>
      <c r="K29" s="149"/>
      <c r="L29" s="149"/>
      <c r="M29" s="149"/>
    </row>
    <row r="30" customFormat="false" ht="31.5" hidden="false" customHeight="true" outlineLevel="0" collapsed="false">
      <c r="A30" s="99" t="s">
        <v>166</v>
      </c>
      <c r="B30" s="100" t="s">
        <v>66</v>
      </c>
      <c r="C30" s="62" t="s">
        <v>67</v>
      </c>
      <c r="D30" s="147" t="n">
        <v>1300</v>
      </c>
      <c r="E30" s="147" t="n">
        <v>1402</v>
      </c>
      <c r="F30" s="147" t="n">
        <v>1162</v>
      </c>
      <c r="G30" s="147" t="n">
        <v>804</v>
      </c>
      <c r="H30" s="147" t="n">
        <v>1049</v>
      </c>
      <c r="I30" s="147" t="n">
        <v>803</v>
      </c>
      <c r="J30" s="147" t="n">
        <v>879</v>
      </c>
      <c r="K30" s="147" t="n">
        <v>839</v>
      </c>
      <c r="L30" s="147" t="n">
        <v>733</v>
      </c>
      <c r="M30" s="65" t="s">
        <v>265</v>
      </c>
    </row>
    <row r="31" customFormat="false" ht="31.5" hidden="false" customHeight="true" outlineLevel="0" collapsed="false">
      <c r="A31" s="99" t="s">
        <v>167</v>
      </c>
      <c r="B31" s="100" t="s">
        <v>66</v>
      </c>
      <c r="C31" s="62" t="s">
        <v>70</v>
      </c>
      <c r="D31" s="147" t="n">
        <v>85</v>
      </c>
      <c r="E31" s="147" t="n">
        <v>67</v>
      </c>
      <c r="F31" s="147" t="n">
        <v>59</v>
      </c>
      <c r="G31" s="147" t="n">
        <v>44</v>
      </c>
      <c r="H31" s="147" t="n">
        <v>38</v>
      </c>
      <c r="I31" s="147" t="n">
        <v>56</v>
      </c>
      <c r="J31" s="147" t="n">
        <v>36</v>
      </c>
      <c r="K31" s="147" t="n">
        <v>31</v>
      </c>
      <c r="L31" s="147" t="n">
        <v>37</v>
      </c>
      <c r="M31" s="65" t="s">
        <v>266</v>
      </c>
    </row>
    <row r="32" customFormat="false" ht="31.5" hidden="false" customHeight="true" outlineLevel="0" collapsed="false">
      <c r="A32" s="99" t="s">
        <v>168</v>
      </c>
      <c r="B32" s="100" t="s">
        <v>66</v>
      </c>
      <c r="C32" s="62" t="s">
        <v>73</v>
      </c>
      <c r="D32" s="147" t="n">
        <v>1291</v>
      </c>
      <c r="E32" s="147" t="n">
        <v>1349</v>
      </c>
      <c r="F32" s="147" t="n">
        <v>1043</v>
      </c>
      <c r="G32" s="147" t="n">
        <v>757</v>
      </c>
      <c r="H32" s="147" t="n">
        <v>947</v>
      </c>
      <c r="I32" s="147" t="n">
        <v>756</v>
      </c>
      <c r="J32" s="147" t="n">
        <v>834</v>
      </c>
      <c r="K32" s="147" t="n">
        <v>825</v>
      </c>
      <c r="L32" s="147" t="n">
        <v>733</v>
      </c>
      <c r="M32" s="65" t="s">
        <v>267</v>
      </c>
    </row>
    <row r="33" customFormat="false" ht="31.5" hidden="false" customHeight="true" outlineLevel="0" collapsed="false">
      <c r="A33" s="99" t="s">
        <v>169</v>
      </c>
      <c r="B33" s="100" t="s">
        <v>66</v>
      </c>
      <c r="C33" s="62" t="s">
        <v>76</v>
      </c>
      <c r="D33" s="147" t="n">
        <v>249</v>
      </c>
      <c r="E33" s="147" t="n">
        <v>206</v>
      </c>
      <c r="F33" s="147" t="n">
        <v>179</v>
      </c>
      <c r="G33" s="147" t="n">
        <v>149</v>
      </c>
      <c r="H33" s="147" t="n">
        <v>168</v>
      </c>
      <c r="I33" s="147" t="n">
        <v>197</v>
      </c>
      <c r="J33" s="147" t="n">
        <v>117</v>
      </c>
      <c r="K33" s="147" t="n">
        <v>104</v>
      </c>
      <c r="L33" s="147" t="n">
        <v>115</v>
      </c>
      <c r="M33" s="65" t="s">
        <v>268</v>
      </c>
    </row>
    <row r="34" customFormat="false" ht="31.5" hidden="false" customHeight="true" outlineLevel="0" collapsed="false">
      <c r="A34" s="99" t="s">
        <v>170</v>
      </c>
      <c r="B34" s="100" t="s">
        <v>66</v>
      </c>
      <c r="C34" s="62" t="s">
        <v>79</v>
      </c>
      <c r="D34" s="150"/>
      <c r="E34" s="150"/>
      <c r="F34" s="150"/>
      <c r="G34" s="150"/>
      <c r="H34" s="150"/>
      <c r="I34" s="150"/>
      <c r="J34" s="150"/>
      <c r="K34" s="150"/>
      <c r="L34" s="150"/>
      <c r="M34" s="65" t="s">
        <v>269</v>
      </c>
    </row>
    <row r="35" customFormat="false" ht="31.5" hidden="false" customHeight="true" outlineLevel="0" collapsed="false">
      <c r="A35" s="99" t="s">
        <v>171</v>
      </c>
      <c r="B35" s="100" t="s">
        <v>66</v>
      </c>
      <c r="C35" s="62" t="s">
        <v>82</v>
      </c>
      <c r="D35" s="150"/>
      <c r="E35" s="150"/>
      <c r="F35" s="150"/>
      <c r="G35" s="150"/>
      <c r="H35" s="150"/>
      <c r="I35" s="150"/>
      <c r="J35" s="150"/>
      <c r="K35" s="150"/>
      <c r="L35" s="150"/>
      <c r="M35" s="65" t="s">
        <v>269</v>
      </c>
    </row>
    <row r="36" customFormat="false" ht="31.5" hidden="false" customHeight="true" outlineLevel="0" collapsed="false">
      <c r="A36" s="99" t="s">
        <v>172</v>
      </c>
      <c r="B36" s="100" t="s">
        <v>66</v>
      </c>
      <c r="C36" s="62" t="s">
        <v>85</v>
      </c>
      <c r="D36" s="150"/>
      <c r="E36" s="150"/>
      <c r="F36" s="150"/>
      <c r="G36" s="150"/>
      <c r="H36" s="150"/>
      <c r="I36" s="150"/>
      <c r="J36" s="150"/>
      <c r="K36" s="150"/>
      <c r="L36" s="150"/>
      <c r="M36" s="65" t="s">
        <v>269</v>
      </c>
    </row>
    <row r="37" customFormat="false" ht="31.5" hidden="false" customHeight="true" outlineLevel="0" collapsed="false">
      <c r="A37" s="99" t="s">
        <v>173</v>
      </c>
      <c r="B37" s="100" t="s">
        <v>66</v>
      </c>
      <c r="C37" s="62" t="s">
        <v>88</v>
      </c>
      <c r="D37" s="147" t="n">
        <v>37</v>
      </c>
      <c r="E37" s="147" t="n">
        <v>36</v>
      </c>
      <c r="F37" s="147" t="n">
        <v>20</v>
      </c>
      <c r="G37" s="147" t="n">
        <v>21</v>
      </c>
      <c r="H37" s="147" t="n">
        <v>18</v>
      </c>
      <c r="I37" s="147" t="n">
        <v>15</v>
      </c>
      <c r="J37" s="147" t="n">
        <v>19</v>
      </c>
      <c r="K37" s="147" t="n">
        <v>16</v>
      </c>
      <c r="L37" s="147" t="n">
        <v>17</v>
      </c>
      <c r="M37" s="65" t="s">
        <v>270</v>
      </c>
    </row>
    <row r="38" customFormat="false" ht="31.5" hidden="false" customHeight="true" outlineLevel="0" collapsed="false">
      <c r="A38" s="107" t="s">
        <v>174</v>
      </c>
      <c r="B38" s="108" t="s">
        <v>91</v>
      </c>
      <c r="C38" s="70" t="s">
        <v>92</v>
      </c>
      <c r="D38" s="147" t="n">
        <v>158</v>
      </c>
      <c r="E38" s="147" t="n">
        <v>230</v>
      </c>
      <c r="F38" s="147" t="n">
        <v>201</v>
      </c>
      <c r="G38" s="147" t="n">
        <v>190</v>
      </c>
      <c r="H38" s="147" t="n">
        <v>120</v>
      </c>
      <c r="I38" s="147" t="n">
        <v>63</v>
      </c>
      <c r="J38" s="147" t="n">
        <v>155</v>
      </c>
      <c r="K38" s="147" t="n">
        <v>91</v>
      </c>
      <c r="L38" s="147" t="n">
        <v>111</v>
      </c>
      <c r="M38" s="65" t="s">
        <v>271</v>
      </c>
    </row>
    <row r="39" customFormat="false" ht="31.5" hidden="false" customHeight="true" outlineLevel="0" collapsed="false">
      <c r="A39" s="107" t="s">
        <v>175</v>
      </c>
      <c r="B39" s="108" t="s">
        <v>91</v>
      </c>
      <c r="C39" s="70" t="s">
        <v>95</v>
      </c>
      <c r="D39" s="150"/>
      <c r="E39" s="150"/>
      <c r="F39" s="150"/>
      <c r="G39" s="150"/>
      <c r="H39" s="150"/>
      <c r="I39" s="150"/>
      <c r="J39" s="150"/>
      <c r="K39" s="150"/>
      <c r="L39" s="150"/>
      <c r="M39" s="65" t="s">
        <v>269</v>
      </c>
    </row>
    <row r="40" customFormat="false" ht="31.5" hidden="false" customHeight="true" outlineLevel="0" collapsed="false">
      <c r="A40" s="107" t="s">
        <v>176</v>
      </c>
      <c r="B40" s="108" t="s">
        <v>91</v>
      </c>
      <c r="C40" s="70" t="s">
        <v>98</v>
      </c>
      <c r="D40" s="147" t="n">
        <v>68</v>
      </c>
      <c r="E40" s="147" t="n">
        <v>112</v>
      </c>
      <c r="F40" s="147" t="n">
        <v>88</v>
      </c>
      <c r="G40" s="147" t="n">
        <v>92</v>
      </c>
      <c r="H40" s="147" t="n">
        <v>63</v>
      </c>
      <c r="I40" s="147" t="n">
        <v>59</v>
      </c>
      <c r="J40" s="147" t="n">
        <v>62</v>
      </c>
      <c r="K40" s="147" t="n">
        <v>59</v>
      </c>
      <c r="L40" s="147" t="n">
        <v>58</v>
      </c>
      <c r="M40" s="65" t="s">
        <v>272</v>
      </c>
    </row>
    <row r="41" customFormat="false" ht="31.5" hidden="false" customHeight="true" outlineLevel="0" collapsed="false">
      <c r="A41" s="107" t="s">
        <v>177</v>
      </c>
      <c r="B41" s="108" t="s">
        <v>91</v>
      </c>
      <c r="C41" s="70" t="s">
        <v>101</v>
      </c>
      <c r="D41" s="147" t="n">
        <v>2496</v>
      </c>
      <c r="E41" s="147" t="n">
        <v>4081</v>
      </c>
      <c r="F41" s="147" t="n">
        <v>2842</v>
      </c>
      <c r="G41" s="147" t="n">
        <v>3261</v>
      </c>
      <c r="H41" s="147" t="n">
        <v>1032</v>
      </c>
      <c r="I41" s="147" t="n">
        <v>1107</v>
      </c>
      <c r="J41" s="147" t="n">
        <v>2489</v>
      </c>
      <c r="K41" s="147" t="n">
        <v>1071</v>
      </c>
      <c r="L41" s="147" t="n">
        <v>1638</v>
      </c>
      <c r="M41" s="65" t="s">
        <v>273</v>
      </c>
    </row>
    <row r="42" customFormat="false" ht="31.5" hidden="false" customHeight="true" outlineLevel="0" collapsed="false">
      <c r="A42" s="110" t="s">
        <v>178</v>
      </c>
      <c r="B42" s="111" t="s">
        <v>104</v>
      </c>
      <c r="C42" s="74" t="s">
        <v>105</v>
      </c>
      <c r="D42" s="150"/>
      <c r="E42" s="150"/>
      <c r="F42" s="150"/>
      <c r="G42" s="150"/>
      <c r="H42" s="150"/>
      <c r="I42" s="150"/>
      <c r="J42" s="150"/>
      <c r="K42" s="150"/>
      <c r="L42" s="150"/>
      <c r="M42" s="65" t="s">
        <v>269</v>
      </c>
    </row>
    <row r="43" customFormat="false" ht="31.5" hidden="false" customHeight="true" outlineLevel="0" collapsed="false">
      <c r="A43" s="110" t="s">
        <v>179</v>
      </c>
      <c r="B43" s="111" t="s">
        <v>104</v>
      </c>
      <c r="C43" s="74" t="s">
        <v>107</v>
      </c>
      <c r="D43" s="147" t="n">
        <v>2509500</v>
      </c>
      <c r="E43" s="147" t="n">
        <v>3592800</v>
      </c>
      <c r="F43" s="147" t="n">
        <v>4100900</v>
      </c>
      <c r="G43" s="147" t="n">
        <v>2540400</v>
      </c>
      <c r="H43" s="147" t="n">
        <v>7205300</v>
      </c>
      <c r="I43" s="147" t="n">
        <v>2187500</v>
      </c>
      <c r="J43" s="147" t="n">
        <v>1642700</v>
      </c>
      <c r="K43" s="147" t="n">
        <v>1209400</v>
      </c>
      <c r="L43" s="147" t="n">
        <v>1857600</v>
      </c>
      <c r="M43" s="65" t="s">
        <v>274</v>
      </c>
    </row>
    <row r="44" customFormat="false" ht="31.5" hidden="false" customHeight="true" outlineLevel="0" collapsed="false">
      <c r="A44" s="110" t="s">
        <v>180</v>
      </c>
      <c r="B44" s="111" t="s">
        <v>104</v>
      </c>
      <c r="C44" s="74" t="s">
        <v>109</v>
      </c>
      <c r="D44" s="150"/>
      <c r="E44" s="150"/>
      <c r="F44" s="150"/>
      <c r="G44" s="150"/>
      <c r="H44" s="150"/>
      <c r="I44" s="150"/>
      <c r="J44" s="150"/>
      <c r="K44" s="150"/>
      <c r="L44" s="150"/>
      <c r="M44" s="65" t="s">
        <v>269</v>
      </c>
    </row>
    <row r="45" customFormat="false" ht="31.5" hidden="false" customHeight="true" outlineLevel="0" collapsed="false">
      <c r="A45" s="110" t="s">
        <v>181</v>
      </c>
      <c r="B45" s="111" t="s">
        <v>104</v>
      </c>
      <c r="C45" s="74" t="s">
        <v>101</v>
      </c>
      <c r="D45" s="150"/>
      <c r="E45" s="150"/>
      <c r="F45" s="150"/>
      <c r="G45" s="150"/>
      <c r="H45" s="150"/>
      <c r="I45" s="150"/>
      <c r="J45" s="150"/>
      <c r="K45" s="150"/>
      <c r="L45" s="150"/>
      <c r="M45" s="65" t="s">
        <v>269</v>
      </c>
    </row>
    <row r="46" customFormat="false" ht="31.5" hidden="false" customHeight="true" outlineLevel="0" collapsed="false">
      <c r="A46" s="113" t="s">
        <v>182</v>
      </c>
      <c r="B46" s="114" t="s">
        <v>114</v>
      </c>
      <c r="C46" s="78" t="s">
        <v>115</v>
      </c>
      <c r="D46" s="150"/>
      <c r="E46" s="150"/>
      <c r="F46" s="150"/>
      <c r="G46" s="150"/>
      <c r="H46" s="150"/>
      <c r="I46" s="150"/>
      <c r="J46" s="150"/>
      <c r="K46" s="150"/>
      <c r="L46" s="150"/>
      <c r="M46" s="65" t="s">
        <v>269</v>
      </c>
    </row>
    <row r="47" customFormat="false" ht="31.5" hidden="false" customHeight="true" outlineLevel="0" collapsed="false">
      <c r="A47" s="113" t="s">
        <v>183</v>
      </c>
      <c r="B47" s="114" t="s">
        <v>114</v>
      </c>
      <c r="C47" s="78" t="s">
        <v>118</v>
      </c>
      <c r="D47" s="150"/>
      <c r="E47" s="150"/>
      <c r="F47" s="150"/>
      <c r="G47" s="150"/>
      <c r="H47" s="150"/>
      <c r="I47" s="150"/>
      <c r="J47" s="150"/>
      <c r="K47" s="150"/>
      <c r="L47" s="150"/>
      <c r="M47" s="65" t="s">
        <v>269</v>
      </c>
    </row>
    <row r="48" customFormat="false" ht="31.5" hidden="false" customHeight="true" outlineLevel="0" collapsed="false">
      <c r="A48" s="113" t="s">
        <v>184</v>
      </c>
      <c r="B48" s="114" t="s">
        <v>114</v>
      </c>
      <c r="C48" s="78" t="s">
        <v>121</v>
      </c>
      <c r="D48" s="150"/>
      <c r="E48" s="150"/>
      <c r="F48" s="150"/>
      <c r="G48" s="150"/>
      <c r="H48" s="150"/>
      <c r="I48" s="150"/>
      <c r="J48" s="150"/>
      <c r="K48" s="150"/>
      <c r="L48" s="150"/>
      <c r="M48" s="65" t="s">
        <v>269</v>
      </c>
    </row>
    <row r="49" customFormat="false" ht="31.5" hidden="false" customHeight="true" outlineLevel="0" collapsed="false">
      <c r="A49" s="113" t="s">
        <v>185</v>
      </c>
      <c r="B49" s="114" t="s">
        <v>114</v>
      </c>
      <c r="C49" s="78" t="s">
        <v>124</v>
      </c>
      <c r="D49" s="150"/>
      <c r="E49" s="150"/>
      <c r="F49" s="150"/>
      <c r="G49" s="150"/>
      <c r="H49" s="150"/>
      <c r="I49" s="150"/>
      <c r="J49" s="150"/>
      <c r="K49" s="150"/>
      <c r="L49" s="150"/>
      <c r="M49" s="65" t="s">
        <v>269</v>
      </c>
    </row>
    <row r="50" customFormat="false" ht="31.5" hidden="false" customHeight="true" outlineLevel="0" collapsed="false">
      <c r="A50" s="113" t="s">
        <v>186</v>
      </c>
      <c r="B50" s="114" t="s">
        <v>114</v>
      </c>
      <c r="C50" s="78" t="s">
        <v>127</v>
      </c>
      <c r="D50" s="150"/>
      <c r="E50" s="150"/>
      <c r="F50" s="150"/>
      <c r="G50" s="150"/>
      <c r="H50" s="150"/>
      <c r="I50" s="150"/>
      <c r="J50" s="150"/>
      <c r="K50" s="150"/>
      <c r="L50" s="150"/>
      <c r="M50" s="65" t="s">
        <v>269</v>
      </c>
    </row>
    <row r="51" customFormat="false" ht="31.5" hidden="false" customHeight="true" outlineLevel="0" collapsed="false">
      <c r="A51" s="113" t="s">
        <v>187</v>
      </c>
      <c r="B51" s="114" t="s">
        <v>114</v>
      </c>
      <c r="C51" s="78" t="s">
        <v>130</v>
      </c>
      <c r="D51" s="150"/>
      <c r="E51" s="150"/>
      <c r="F51" s="150"/>
      <c r="G51" s="150"/>
      <c r="H51" s="150"/>
      <c r="I51" s="150"/>
      <c r="J51" s="150"/>
      <c r="K51" s="150"/>
      <c r="L51" s="150"/>
      <c r="M51" s="65" t="s">
        <v>269</v>
      </c>
    </row>
    <row r="52" customFormat="false" ht="31.5" hidden="false" customHeight="true" outlineLevel="0" collapsed="false">
      <c r="A52" s="113" t="s">
        <v>188</v>
      </c>
      <c r="B52" s="114" t="s">
        <v>114</v>
      </c>
      <c r="C52" s="78" t="s">
        <v>133</v>
      </c>
      <c r="D52" s="150"/>
      <c r="E52" s="150"/>
      <c r="F52" s="150"/>
      <c r="G52" s="150"/>
      <c r="H52" s="150"/>
      <c r="I52" s="150"/>
      <c r="J52" s="150"/>
      <c r="K52" s="150"/>
      <c r="L52" s="150"/>
      <c r="M52" s="65" t="s">
        <v>269</v>
      </c>
    </row>
    <row r="54" customFormat="false" ht="19.5" hidden="false" customHeight="true" outlineLevel="0" collapsed="false">
      <c r="A54" s="151" t="s">
        <v>275</v>
      </c>
      <c r="B54" s="151"/>
      <c r="C54" s="151"/>
      <c r="D54" s="151"/>
      <c r="E54" s="151"/>
      <c r="F54" s="151"/>
      <c r="G54" s="151"/>
      <c r="H54" s="151"/>
      <c r="I54" s="151"/>
      <c r="J54" s="151"/>
      <c r="K54" s="151"/>
      <c r="L54" s="151"/>
      <c r="M54" s="151"/>
    </row>
    <row r="55" customFormat="false" ht="31.5" hidden="false" customHeight="true" outlineLevel="0" collapsed="false">
      <c r="A55" s="99" t="s">
        <v>166</v>
      </c>
      <c r="B55" s="100" t="s">
        <v>66</v>
      </c>
      <c r="C55" s="62" t="s">
        <v>67</v>
      </c>
      <c r="D55" s="81"/>
      <c r="E55" s="81"/>
      <c r="F55" s="81"/>
      <c r="G55" s="81"/>
      <c r="H55" s="81"/>
      <c r="I55" s="81"/>
      <c r="J55" s="81"/>
      <c r="K55" s="81"/>
      <c r="L55" s="81"/>
      <c r="M55" s="65" t="s">
        <v>276</v>
      </c>
    </row>
    <row r="56" customFormat="false" ht="31.5" hidden="false" customHeight="true" outlineLevel="0" collapsed="false">
      <c r="A56" s="99" t="s">
        <v>167</v>
      </c>
      <c r="B56" s="100" t="s">
        <v>66</v>
      </c>
      <c r="C56" s="62" t="s">
        <v>70</v>
      </c>
      <c r="D56" s="81"/>
      <c r="E56" s="81"/>
      <c r="F56" s="81"/>
      <c r="G56" s="81"/>
      <c r="H56" s="81"/>
      <c r="I56" s="81"/>
      <c r="J56" s="81"/>
      <c r="K56" s="81"/>
      <c r="L56" s="81"/>
      <c r="M56" s="65" t="s">
        <v>276</v>
      </c>
    </row>
    <row r="57" customFormat="false" ht="31.5" hidden="false" customHeight="true" outlineLevel="0" collapsed="false">
      <c r="A57" s="99" t="s">
        <v>168</v>
      </c>
      <c r="B57" s="100" t="s">
        <v>66</v>
      </c>
      <c r="C57" s="62" t="s">
        <v>73</v>
      </c>
      <c r="D57" s="81"/>
      <c r="E57" s="81"/>
      <c r="F57" s="81"/>
      <c r="G57" s="81"/>
      <c r="H57" s="81"/>
      <c r="I57" s="81"/>
      <c r="J57" s="81"/>
      <c r="K57" s="81"/>
      <c r="L57" s="81"/>
      <c r="M57" s="65" t="s">
        <v>276</v>
      </c>
    </row>
    <row r="58" customFormat="false" ht="31.5" hidden="false" customHeight="true" outlineLevel="0" collapsed="false">
      <c r="A58" s="99" t="s">
        <v>169</v>
      </c>
      <c r="B58" s="100" t="s">
        <v>66</v>
      </c>
      <c r="C58" s="62" t="s">
        <v>76</v>
      </c>
      <c r="D58" s="81"/>
      <c r="E58" s="81"/>
      <c r="F58" s="81"/>
      <c r="G58" s="81"/>
      <c r="H58" s="81"/>
      <c r="I58" s="81"/>
      <c r="J58" s="81"/>
      <c r="K58" s="81"/>
      <c r="L58" s="81"/>
      <c r="M58" s="65" t="s">
        <v>276</v>
      </c>
    </row>
    <row r="59" customFormat="false" ht="31.5" hidden="false" customHeight="true" outlineLevel="0" collapsed="false">
      <c r="A59" s="99" t="s">
        <v>170</v>
      </c>
      <c r="B59" s="100" t="s">
        <v>66</v>
      </c>
      <c r="C59" s="62" t="s">
        <v>79</v>
      </c>
      <c r="D59" s="63" t="n">
        <f aca="false">IF(ISNUMBER('Borang Negeri'!G14),'Borang Negeri'!G14,"")</f>
        <v>1263</v>
      </c>
      <c r="E59" s="63" t="n">
        <f aca="false">IF(ISNUMBER('Borang Negeri'!H14),'Borang Negeri'!H14,"")</f>
        <v>1465</v>
      </c>
      <c r="F59" s="63" t="n">
        <f aca="false">IF(ISNUMBER('Borang Negeri'!I14),'Borang Negeri'!I14,"")</f>
        <v>1223</v>
      </c>
      <c r="G59" s="63" t="n">
        <f aca="false">IF(ISNUMBER('Borang Negeri'!J14),'Borang Negeri'!J14,"")</f>
        <v>849</v>
      </c>
      <c r="H59" s="81"/>
      <c r="I59" s="81"/>
      <c r="J59" s="81"/>
      <c r="K59" s="81"/>
      <c r="L59" s="81"/>
      <c r="M59" s="65" t="s">
        <v>277</v>
      </c>
    </row>
    <row r="60" customFormat="false" ht="31.5" hidden="false" customHeight="true" outlineLevel="0" collapsed="false">
      <c r="A60" s="99" t="s">
        <v>171</v>
      </c>
      <c r="B60" s="100" t="s">
        <v>66</v>
      </c>
      <c r="C60" s="62" t="s">
        <v>82</v>
      </c>
      <c r="D60" s="63" t="n">
        <f aca="false">IF(ISNUMBER('Borang Negeri'!G15),'Borang Negeri'!G15,"")</f>
        <v>16243</v>
      </c>
      <c r="E60" s="63" t="n">
        <f aca="false">IF(ISNUMBER('Borang Negeri'!H15),'Borang Negeri'!H15,"")</f>
        <v>26211</v>
      </c>
      <c r="F60" s="63" t="n">
        <f aca="false">IF(ISNUMBER('Borang Negeri'!I15),'Borang Negeri'!I15,"")</f>
        <v>23984</v>
      </c>
      <c r="G60" s="63" t="n">
        <f aca="false">IF(ISNUMBER('Borang Negeri'!J15),'Borang Negeri'!J15,"")</f>
        <v>15211</v>
      </c>
      <c r="H60" s="81"/>
      <c r="I60" s="81"/>
      <c r="J60" s="81"/>
      <c r="K60" s="81"/>
      <c r="L60" s="81"/>
      <c r="M60" s="65" t="s">
        <v>278</v>
      </c>
    </row>
    <row r="61" customFormat="false" ht="31.5" hidden="false" customHeight="true" outlineLevel="0" collapsed="false">
      <c r="A61" s="99" t="s">
        <v>172</v>
      </c>
      <c r="B61" s="100" t="s">
        <v>66</v>
      </c>
      <c r="C61" s="62" t="s">
        <v>85</v>
      </c>
      <c r="D61" s="63" t="n">
        <f aca="false">IF(ISNUMBER('Borang Negeri'!G16),'Borang Negeri'!G16,"")</f>
        <v>1209</v>
      </c>
      <c r="E61" s="63" t="n">
        <f aca="false">IF(ISNUMBER('Borang Negeri'!H16),'Borang Negeri'!H16,"")</f>
        <v>1397</v>
      </c>
      <c r="F61" s="63" t="n">
        <f aca="false">IF(ISNUMBER('Borang Negeri'!I16),'Borang Negeri'!I16,"")</f>
        <v>1104</v>
      </c>
      <c r="G61" s="63" t="n">
        <f aca="false">IF(ISNUMBER('Borang Negeri'!J16),'Borang Negeri'!J16,"")</f>
        <v>878</v>
      </c>
      <c r="H61" s="81"/>
      <c r="I61" s="81"/>
      <c r="J61" s="81"/>
      <c r="K61" s="81"/>
      <c r="L61" s="81"/>
      <c r="M61" s="65" t="s">
        <v>279</v>
      </c>
    </row>
    <row r="62" customFormat="false" ht="31.5" hidden="false" customHeight="true" outlineLevel="0" collapsed="false">
      <c r="A62" s="99" t="s">
        <v>173</v>
      </c>
      <c r="B62" s="100" t="s">
        <v>66</v>
      </c>
      <c r="C62" s="62" t="s">
        <v>88</v>
      </c>
      <c r="D62" s="81"/>
      <c r="E62" s="81"/>
      <c r="F62" s="81"/>
      <c r="G62" s="81"/>
      <c r="H62" s="81"/>
      <c r="I62" s="81"/>
      <c r="J62" s="81"/>
      <c r="K62" s="81"/>
      <c r="L62" s="81"/>
      <c r="M62" s="65" t="s">
        <v>276</v>
      </c>
    </row>
    <row r="63" customFormat="false" ht="31.5" hidden="false" customHeight="true" outlineLevel="0" collapsed="false">
      <c r="A63" s="107" t="s">
        <v>174</v>
      </c>
      <c r="B63" s="108" t="s">
        <v>91</v>
      </c>
      <c r="C63" s="70" t="s">
        <v>92</v>
      </c>
      <c r="D63" s="81"/>
      <c r="E63" s="147" t="n">
        <v>543</v>
      </c>
      <c r="F63" s="81"/>
      <c r="G63" s="81"/>
      <c r="H63" s="81"/>
      <c r="I63" s="81"/>
      <c r="J63" s="81"/>
      <c r="K63" s="81"/>
      <c r="L63" s="81"/>
      <c r="M63" s="65" t="s">
        <v>280</v>
      </c>
    </row>
    <row r="64" customFormat="false" ht="31.5" hidden="false" customHeight="true" outlineLevel="0" collapsed="false">
      <c r="A64" s="107" t="s">
        <v>175</v>
      </c>
      <c r="B64" s="108" t="s">
        <v>91</v>
      </c>
      <c r="C64" s="70" t="s">
        <v>95</v>
      </c>
      <c r="D64" s="63" t="n">
        <f aca="false">IF(ISNUMBER('Borang Negeri'!G17),'Borang Negeri'!G17,"")</f>
        <v>125</v>
      </c>
      <c r="E64" s="63" t="n">
        <f aca="false">IF(ISNUMBER('Borang Negeri'!H17),'Borang Negeri'!H17,"")</f>
        <v>230</v>
      </c>
      <c r="F64" s="63" t="n">
        <f aca="false">IF(ISNUMBER('Borang Negeri'!I17),'Borang Negeri'!I17,"")</f>
        <v>278</v>
      </c>
      <c r="G64" s="63" t="n">
        <f aca="false">IF(ISNUMBER('Borang Negeri'!J17),'Borang Negeri'!J17,"")</f>
        <v>159</v>
      </c>
      <c r="H64" s="81"/>
      <c r="I64" s="81"/>
      <c r="J64" s="81"/>
      <c r="K64" s="81"/>
      <c r="L64" s="81"/>
      <c r="M64" s="65" t="s">
        <v>281</v>
      </c>
    </row>
    <row r="65" customFormat="false" ht="31.5" hidden="false" customHeight="true" outlineLevel="0" collapsed="false">
      <c r="A65" s="107" t="s">
        <v>176</v>
      </c>
      <c r="B65" s="108" t="s">
        <v>91</v>
      </c>
      <c r="C65" s="70" t="s">
        <v>98</v>
      </c>
      <c r="D65" s="81"/>
      <c r="E65" s="81"/>
      <c r="F65" s="81"/>
      <c r="G65" s="81"/>
      <c r="H65" s="81"/>
      <c r="I65" s="81"/>
      <c r="J65" s="81"/>
      <c r="K65" s="81"/>
      <c r="L65" s="81"/>
      <c r="M65" s="65" t="s">
        <v>276</v>
      </c>
    </row>
    <row r="66" customFormat="false" ht="31.5" hidden="false" customHeight="true" outlineLevel="0" collapsed="false">
      <c r="A66" s="107" t="s">
        <v>177</v>
      </c>
      <c r="B66" s="108" t="s">
        <v>91</v>
      </c>
      <c r="C66" s="70" t="s">
        <v>101</v>
      </c>
      <c r="D66" s="81"/>
      <c r="E66" s="81"/>
      <c r="F66" s="81"/>
      <c r="G66" s="81"/>
      <c r="H66" s="81"/>
      <c r="I66" s="81"/>
      <c r="J66" s="81"/>
      <c r="K66" s="81"/>
      <c r="L66" s="81"/>
      <c r="M66" s="65" t="s">
        <v>276</v>
      </c>
    </row>
    <row r="67" customFormat="false" ht="31.5" hidden="false" customHeight="true" outlineLevel="0" collapsed="false">
      <c r="A67" s="110" t="s">
        <v>178</v>
      </c>
      <c r="B67" s="111" t="s">
        <v>104</v>
      </c>
      <c r="C67" s="74" t="s">
        <v>105</v>
      </c>
      <c r="D67" s="147" t="n">
        <v>6906</v>
      </c>
      <c r="E67" s="63" t="n">
        <f aca="false">E108+SUM('Borang Negeri'!G32:G36)</f>
        <v>2558</v>
      </c>
      <c r="F67" s="147" t="n">
        <v>631</v>
      </c>
      <c r="G67" s="147" t="n">
        <v>1079</v>
      </c>
      <c r="H67" s="81"/>
      <c r="I67" s="81"/>
      <c r="J67" s="81"/>
      <c r="K67" s="81"/>
      <c r="L67" s="81"/>
      <c r="M67" s="65" t="s">
        <v>282</v>
      </c>
    </row>
    <row r="68" customFormat="false" ht="31.5" hidden="false" customHeight="true" outlineLevel="0" collapsed="false">
      <c r="A68" s="110" t="s">
        <v>179</v>
      </c>
      <c r="B68" s="111" t="s">
        <v>104</v>
      </c>
      <c r="C68" s="74" t="s">
        <v>107</v>
      </c>
      <c r="D68" s="147" t="n">
        <v>2453305</v>
      </c>
      <c r="E68" s="63" t="n">
        <f aca="false">E109+SUM('Borang Negeri'!H32:H35)</f>
        <v>2097551</v>
      </c>
      <c r="F68" s="147" t="n">
        <v>2727626</v>
      </c>
      <c r="G68" s="147" t="n">
        <v>2529700</v>
      </c>
      <c r="H68" s="81"/>
      <c r="I68" s="81"/>
      <c r="J68" s="81"/>
      <c r="K68" s="81"/>
      <c r="L68" s="81"/>
      <c r="M68" s="65" t="s">
        <v>282</v>
      </c>
    </row>
    <row r="69" customFormat="false" ht="31.5" hidden="false" customHeight="true" outlineLevel="0" collapsed="false">
      <c r="A69" s="110" t="s">
        <v>180</v>
      </c>
      <c r="B69" s="111" t="s">
        <v>104</v>
      </c>
      <c r="C69" s="74" t="s">
        <v>109</v>
      </c>
      <c r="D69" s="63" t="n">
        <f aca="false">IF(ISNUMBER('Borang Negeri'!G18),'Borang Negeri'!G18,"")</f>
        <v>382</v>
      </c>
      <c r="E69" s="63" t="n">
        <f aca="false">IF(ISNUMBER('Borang Negeri'!H18),'Borang Negeri'!H18,"")</f>
        <v>219</v>
      </c>
      <c r="F69" s="63" t="n">
        <f aca="false">IF(ISNUMBER('Borang Negeri'!I18),'Borang Negeri'!I18,"")</f>
        <v>217</v>
      </c>
      <c r="G69" s="63" t="n">
        <f aca="false">IF(ISNUMBER('Borang Negeri'!J18),'Borang Negeri'!J18,"")</f>
        <v>175</v>
      </c>
      <c r="H69" s="81"/>
      <c r="I69" s="81"/>
      <c r="J69" s="81"/>
      <c r="K69" s="81"/>
      <c r="L69" s="81"/>
      <c r="M69" s="65" t="s">
        <v>283</v>
      </c>
    </row>
    <row r="70" customFormat="false" ht="31.5" hidden="false" customHeight="true" outlineLevel="0" collapsed="false">
      <c r="A70" s="110" t="s">
        <v>181</v>
      </c>
      <c r="B70" s="111" t="s">
        <v>104</v>
      </c>
      <c r="C70" s="74" t="s">
        <v>101</v>
      </c>
      <c r="D70" s="63" t="n">
        <f aca="false">IF(ISNUMBER('Borang Negeri'!G19),'Borang Negeri'!G19,"")</f>
        <v>20010</v>
      </c>
      <c r="E70" s="63" t="n">
        <f aca="false">IF(ISNUMBER('Borang Negeri'!H19),'Borang Negeri'!H19,"")</f>
        <v>4313</v>
      </c>
      <c r="F70" s="63" t="n">
        <f aca="false">IF(ISNUMBER('Borang Negeri'!I19),'Borang Negeri'!I19,"")</f>
        <v>2546</v>
      </c>
      <c r="G70" s="63" t="n">
        <f aca="false">IF(ISNUMBER('Borang Negeri'!J19),'Borang Negeri'!J19,"")</f>
        <v>8500</v>
      </c>
      <c r="H70" s="81"/>
      <c r="I70" s="81"/>
      <c r="J70" s="81"/>
      <c r="K70" s="81"/>
      <c r="L70" s="81"/>
      <c r="M70" s="65" t="s">
        <v>284</v>
      </c>
    </row>
    <row r="71" customFormat="false" ht="31.5" hidden="false" customHeight="true" outlineLevel="0" collapsed="false">
      <c r="A71" s="113" t="s">
        <v>182</v>
      </c>
      <c r="B71" s="114" t="s">
        <v>114</v>
      </c>
      <c r="C71" s="78" t="s">
        <v>115</v>
      </c>
      <c r="D71" s="63" t="n">
        <f aca="false">IF(ISNUMBER('Borang Negeri'!G20),'Borang Negeri'!G20,"")</f>
        <v>28630</v>
      </c>
      <c r="E71" s="63" t="n">
        <f aca="false">IF(ISNUMBER('Borang Negeri'!H20),'Borang Negeri'!H20,"")</f>
        <v>36669</v>
      </c>
      <c r="F71" s="63" t="str">
        <f aca="false">IF(ISNUMBER('Borang Negeri'!I20),'Borang Negeri'!I20,"")</f>
        <v/>
      </c>
      <c r="G71" s="63" t="n">
        <f aca="false">IF(ISNUMBER('Borang Negeri'!J20),'Borang Negeri'!J20,"")</f>
        <v>30408</v>
      </c>
      <c r="H71" s="81"/>
      <c r="I71" s="81"/>
      <c r="J71" s="81"/>
      <c r="K71" s="81"/>
      <c r="L71" s="81"/>
      <c r="M71" s="65" t="s">
        <v>285</v>
      </c>
    </row>
    <row r="72" customFormat="false" ht="31.5" hidden="false" customHeight="true" outlineLevel="0" collapsed="false">
      <c r="A72" s="113" t="s">
        <v>183</v>
      </c>
      <c r="B72" s="114" t="s">
        <v>114</v>
      </c>
      <c r="C72" s="78" t="s">
        <v>118</v>
      </c>
      <c r="D72" s="63" t="str">
        <f aca="false">IF(ISNUMBER('Borang Negeri'!G22),'Borang Negeri'!G22,"")</f>
        <v/>
      </c>
      <c r="E72" s="63" t="n">
        <f aca="false">IF(ISNUMBER('Borang Negeri'!H22),'Borang Negeri'!H22,"")</f>
        <v>1022</v>
      </c>
      <c r="F72" s="63" t="n">
        <f aca="false">IF(ISNUMBER('Borang Negeri'!I22),'Borang Negeri'!I22,"")</f>
        <v>893</v>
      </c>
      <c r="G72" s="63" t="n">
        <f aca="false">IF(ISNUMBER('Borang Negeri'!J22),'Borang Negeri'!J22,"")</f>
        <v>367</v>
      </c>
      <c r="H72" s="81"/>
      <c r="I72" s="81"/>
      <c r="J72" s="81"/>
      <c r="K72" s="81"/>
      <c r="L72" s="81"/>
      <c r="M72" s="65" t="s">
        <v>286</v>
      </c>
    </row>
    <row r="73" customFormat="false" ht="31.5" hidden="false" customHeight="true" outlineLevel="0" collapsed="false">
      <c r="A73" s="113" t="s">
        <v>184</v>
      </c>
      <c r="B73" s="114" t="s">
        <v>114</v>
      </c>
      <c r="C73" s="78" t="s">
        <v>121</v>
      </c>
      <c r="D73" s="63" t="n">
        <f aca="false">IF(ISNUMBER('Borang Negeri'!G23),'Borang Negeri'!G23,"")</f>
        <v>6896060.15</v>
      </c>
      <c r="E73" s="63" t="n">
        <f aca="false">IF(ISNUMBER('Borang Negeri'!H23),'Borang Negeri'!H23,"")</f>
        <v>76816481.61</v>
      </c>
      <c r="F73" s="63" t="n">
        <f aca="false">IF(ISNUMBER('Borang Negeri'!I23),'Borang Negeri'!I23,"")</f>
        <v>101223814</v>
      </c>
      <c r="G73" s="63" t="n">
        <f aca="false">IF(ISNUMBER('Borang Negeri'!J23),'Borang Negeri'!J23,"")</f>
        <v>87049719</v>
      </c>
      <c r="H73" s="81"/>
      <c r="I73" s="81"/>
      <c r="J73" s="81"/>
      <c r="K73" s="81"/>
      <c r="L73" s="81"/>
      <c r="M73" s="65" t="s">
        <v>287</v>
      </c>
    </row>
    <row r="74" customFormat="false" ht="31.5" hidden="false" customHeight="true" outlineLevel="0" collapsed="false">
      <c r="A74" s="113" t="s">
        <v>185</v>
      </c>
      <c r="B74" s="114" t="s">
        <v>114</v>
      </c>
      <c r="C74" s="78" t="s">
        <v>124</v>
      </c>
      <c r="D74" s="63" t="n">
        <f aca="false">IF(ISNUMBER('Borang Negeri'!G24),'Borang Negeri'!G24,"")</f>
        <v>8351734.15</v>
      </c>
      <c r="E74" s="63" t="n">
        <f aca="false">IF(ISNUMBER('Borang Negeri'!H24),'Borang Negeri'!H24,"")</f>
        <v>7031639</v>
      </c>
      <c r="F74" s="63" t="n">
        <f aca="false">IF(ISNUMBER('Borang Negeri'!I24),'Borang Negeri'!I24,"")</f>
        <v>3911500</v>
      </c>
      <c r="G74" s="63" t="n">
        <f aca="false">IF(ISNUMBER('Borang Negeri'!J24),'Borang Negeri'!J24,"")</f>
        <v>3038000</v>
      </c>
      <c r="H74" s="81"/>
      <c r="I74" s="81"/>
      <c r="J74" s="81"/>
      <c r="K74" s="81"/>
      <c r="L74" s="81"/>
      <c r="M74" s="65" t="s">
        <v>288</v>
      </c>
    </row>
    <row r="75" customFormat="false" ht="31.5" hidden="false" customHeight="true" outlineLevel="0" collapsed="false">
      <c r="A75" s="113" t="s">
        <v>186</v>
      </c>
      <c r="B75" s="114" t="s">
        <v>114</v>
      </c>
      <c r="C75" s="78" t="s">
        <v>127</v>
      </c>
      <c r="D75" s="63" t="n">
        <f aca="false">IF(ISNUMBER('Borang Negeri'!G25),'Borang Negeri'!G25,"")</f>
        <v>15000</v>
      </c>
      <c r="E75" s="63" t="n">
        <f aca="false">IF(ISNUMBER('Borang Negeri'!H25),'Borang Negeri'!H25,"")</f>
        <v>3997</v>
      </c>
      <c r="F75" s="63" t="n">
        <f aca="false">IF(ISNUMBER('Borang Negeri'!I25),'Borang Negeri'!I25,"")</f>
        <v>4825</v>
      </c>
      <c r="G75" s="63" t="n">
        <f aca="false">IF(ISNUMBER('Borang Negeri'!J25),'Borang Negeri'!J25,"")</f>
        <v>7500</v>
      </c>
      <c r="H75" s="81"/>
      <c r="I75" s="81"/>
      <c r="J75" s="81"/>
      <c r="K75" s="81"/>
      <c r="L75" s="81"/>
      <c r="M75" s="65" t="s">
        <v>289</v>
      </c>
    </row>
    <row r="76" customFormat="false" ht="31.5" hidden="false" customHeight="true" outlineLevel="0" collapsed="false">
      <c r="A76" s="113" t="s">
        <v>187</v>
      </c>
      <c r="B76" s="114" t="s">
        <v>114</v>
      </c>
      <c r="C76" s="78" t="s">
        <v>130</v>
      </c>
      <c r="D76" s="63" t="n">
        <f aca="false">IF(ISNUMBER('Borang Negeri'!G27),'Borang Negeri'!G27,"")</f>
        <v>507</v>
      </c>
      <c r="E76" s="63" t="n">
        <f aca="false">IF(ISNUMBER('Borang Negeri'!H27),'Borang Negeri'!H27,"")</f>
        <v>204</v>
      </c>
      <c r="F76" s="63" t="n">
        <f aca="false">IF(ISNUMBER('Borang Negeri'!I27),'Borang Negeri'!I27,"")</f>
        <v>46</v>
      </c>
      <c r="G76" s="63" t="n">
        <f aca="false">IF(ISNUMBER('Borang Negeri'!J27),'Borang Negeri'!J27,"")</f>
        <v>450</v>
      </c>
      <c r="H76" s="81"/>
      <c r="I76" s="81"/>
      <c r="J76" s="81"/>
      <c r="K76" s="81"/>
      <c r="L76" s="81"/>
      <c r="M76" s="65" t="s">
        <v>290</v>
      </c>
    </row>
    <row r="77" customFormat="false" ht="31.5" hidden="false" customHeight="true" outlineLevel="0" collapsed="false">
      <c r="A77" s="113" t="s">
        <v>188</v>
      </c>
      <c r="B77" s="114" t="s">
        <v>114</v>
      </c>
      <c r="C77" s="78" t="s">
        <v>133</v>
      </c>
      <c r="D77" s="63" t="n">
        <f aca="false">IF(ISNUMBER('Borang Negeri'!G28),'Borang Negeri'!G28,D112)</f>
        <v>2032</v>
      </c>
      <c r="E77" s="63" t="n">
        <f aca="false">IF(ISNUMBER('Borang Negeri'!H28),'Borang Negeri'!H28,E112)</f>
        <v>2146</v>
      </c>
      <c r="F77" s="63" t="n">
        <f aca="false">IF(ISNUMBER('Borang Negeri'!I28),'Borang Negeri'!I28,F112)</f>
        <v>1508</v>
      </c>
      <c r="G77" s="63" t="n">
        <f aca="false">IF(ISNUMBER('Borang Negeri'!J28),'Borang Negeri'!J28,G112)</f>
        <v>1223</v>
      </c>
      <c r="H77" s="81"/>
      <c r="I77" s="81"/>
      <c r="J77" s="81"/>
      <c r="K77" s="81"/>
      <c r="L77" s="81"/>
      <c r="M77" s="65" t="s">
        <v>291</v>
      </c>
    </row>
    <row r="79" customFormat="false" ht="19.5" hidden="false" customHeight="true" outlineLevel="0" collapsed="false">
      <c r="A79" s="152" t="s">
        <v>292</v>
      </c>
      <c r="B79" s="152"/>
      <c r="C79" s="152"/>
      <c r="D79" s="152"/>
      <c r="E79" s="152"/>
      <c r="F79" s="152"/>
      <c r="G79" s="152"/>
      <c r="H79" s="152"/>
      <c r="I79" s="152"/>
      <c r="J79" s="152"/>
      <c r="K79" s="152"/>
      <c r="L79" s="152"/>
      <c r="M79" s="152"/>
    </row>
    <row r="80" customFormat="false" ht="31.5" hidden="false" customHeight="true" outlineLevel="0" collapsed="false">
      <c r="A80" s="99" t="s">
        <v>166</v>
      </c>
      <c r="B80" s="100" t="s">
        <v>66</v>
      </c>
      <c r="C80" s="62" t="s">
        <v>67</v>
      </c>
      <c r="D80" s="153" t="n">
        <f aca="false">IF(AND(P_SUMBER="Nasional",ISNUMBER(D30)),D30,IF(ISNUMBER(D55),D55,IF(ISNUMBER(D30),D30,"[BELUM ADA]")))</f>
        <v>1300</v>
      </c>
      <c r="E80" s="153" t="n">
        <f aca="false">IF(AND(P_SUMBER="Nasional",ISNUMBER(E30)),E30,IF(ISNUMBER(E55),E55,IF(ISNUMBER(E30),E30,"[BELUM ADA]")))</f>
        <v>1402</v>
      </c>
      <c r="F80" s="153" t="n">
        <f aca="false">IF(AND(P_SUMBER="Nasional",ISNUMBER(F30)),F30,IF(ISNUMBER(F55),F55,IF(ISNUMBER(F30),F30,"[BELUM ADA]")))</f>
        <v>1162</v>
      </c>
      <c r="G80" s="153" t="n">
        <f aca="false">IF(AND(P_SUMBER="Nasional",ISNUMBER(G30)),G30,IF(ISNUMBER(G55),G55,IF(ISNUMBER(G30),G30,"[BELUM ADA]")))</f>
        <v>804</v>
      </c>
      <c r="H80" s="153" t="n">
        <f aca="false">IF(AND(P_SUMBER="Nasional",ISNUMBER(H30)),H30,IF(ISNUMBER(H5),H5,IF(ISNUMBER(H30),H30,"[TIADA DATA HQ]")))</f>
        <v>1049</v>
      </c>
      <c r="I80" s="153" t="n">
        <f aca="false">IF(AND(P_SUMBER="Nasional",ISNUMBER(I30)),I30,IF(ISNUMBER(I5),I5,IF(ISNUMBER(I30),I30,"[TIADA DATA HQ]")))</f>
        <v>803</v>
      </c>
      <c r="J80" s="153" t="n">
        <f aca="false">IF(AND(P_SUMBER="Nasional",ISNUMBER(J30)),J30,IF(ISNUMBER(J5),J5,IF(ISNUMBER(J30),J30,"[TIADA DATA HQ]")))</f>
        <v>879</v>
      </c>
      <c r="K80" s="153" t="n">
        <f aca="false">IF(AND(P_SUMBER="Nasional",ISNUMBER(K30)),K30,IF(ISNUMBER(K5),K5,IF(ISNUMBER(K30),K30,"[TIADA DATA HQ]")))</f>
        <v>839</v>
      </c>
      <c r="L80" s="153" t="n">
        <f aca="false">IF(AND(P_SUMBER="Nasional",ISNUMBER(L30)),L30,IF(ISNUMBER(L5),L5,IF(ISNUMBER(L30),L30,"[TIADA DATA HQ]")))</f>
        <v>733</v>
      </c>
      <c r="M80" s="65" t="str">
        <f aca="false">IF(COUNT(D30:L30)=0,"Tiada sumber nasional: negeri sederhana guna HQ, negeri besar guna data negeri",IF(P_SUMBER="Nasional","Sumber nasional untuk semua 9 negeri","Negeri sederhana guna HQ; negeri besar guna data negeri jika ada, jika tidak sumber nasional"))</f>
        <v>Sumber nasional untuk semua 9 negeri</v>
      </c>
    </row>
    <row r="81" customFormat="false" ht="31.5" hidden="false" customHeight="true" outlineLevel="0" collapsed="false">
      <c r="A81" s="99" t="s">
        <v>167</v>
      </c>
      <c r="B81" s="100" t="s">
        <v>66</v>
      </c>
      <c r="C81" s="62" t="s">
        <v>70</v>
      </c>
      <c r="D81" s="153" t="n">
        <f aca="false">IF(AND(P_SUMBER="Nasional",ISNUMBER(D31)),D31,IF(ISNUMBER(D56),D56,IF(ISNUMBER(D31),D31,"[BELUM ADA]")))</f>
        <v>85</v>
      </c>
      <c r="E81" s="153" t="n">
        <f aca="false">IF(AND(P_SUMBER="Nasional",ISNUMBER(E31)),E31,IF(ISNUMBER(E56),E56,IF(ISNUMBER(E31),E31,"[BELUM ADA]")))</f>
        <v>67</v>
      </c>
      <c r="F81" s="153" t="n">
        <f aca="false">IF(AND(P_SUMBER="Nasional",ISNUMBER(F31)),F31,IF(ISNUMBER(F56),F56,IF(ISNUMBER(F31),F31,"[BELUM ADA]")))</f>
        <v>59</v>
      </c>
      <c r="G81" s="153" t="n">
        <f aca="false">IF(AND(P_SUMBER="Nasional",ISNUMBER(G31)),G31,IF(ISNUMBER(G56),G56,IF(ISNUMBER(G31),G31,"[BELUM ADA]")))</f>
        <v>44</v>
      </c>
      <c r="H81" s="153" t="n">
        <f aca="false">IF(AND(P_SUMBER="Nasional",ISNUMBER(H31)),H31,IF(ISNUMBER(H6),H6,IF(ISNUMBER(H31),H31,"[TIADA DATA HQ]")))</f>
        <v>38</v>
      </c>
      <c r="I81" s="153" t="n">
        <f aca="false">IF(AND(P_SUMBER="Nasional",ISNUMBER(I31)),I31,IF(ISNUMBER(I6),I6,IF(ISNUMBER(I31),I31,"[TIADA DATA HQ]")))</f>
        <v>56</v>
      </c>
      <c r="J81" s="153" t="n">
        <f aca="false">IF(AND(P_SUMBER="Nasional",ISNUMBER(J31)),J31,IF(ISNUMBER(J6),J6,IF(ISNUMBER(J31),J31,"[TIADA DATA HQ]")))</f>
        <v>36</v>
      </c>
      <c r="K81" s="153" t="n">
        <f aca="false">IF(AND(P_SUMBER="Nasional",ISNUMBER(K31)),K31,IF(ISNUMBER(K6),K6,IF(ISNUMBER(K31),K31,"[TIADA DATA HQ]")))</f>
        <v>31</v>
      </c>
      <c r="L81" s="153" t="n">
        <f aca="false">IF(AND(P_SUMBER="Nasional",ISNUMBER(L31)),L31,IF(ISNUMBER(L6),L6,IF(ISNUMBER(L31),L31,"[TIADA DATA HQ]")))</f>
        <v>37</v>
      </c>
      <c r="M81" s="65" t="str">
        <f aca="false">IF(COUNT(D31:L31)=0,"Tiada sumber nasional: negeri sederhana guna HQ, negeri besar guna data negeri",IF(P_SUMBER="Nasional","Sumber nasional untuk semua 9 negeri","Negeri sederhana guna HQ; negeri besar guna data negeri jika ada, jika tidak sumber nasional"))</f>
        <v>Sumber nasional untuk semua 9 negeri</v>
      </c>
    </row>
    <row r="82" customFormat="false" ht="31.5" hidden="false" customHeight="true" outlineLevel="0" collapsed="false">
      <c r="A82" s="99" t="s">
        <v>168</v>
      </c>
      <c r="B82" s="100" t="s">
        <v>66</v>
      </c>
      <c r="C82" s="62" t="s">
        <v>73</v>
      </c>
      <c r="D82" s="153" t="n">
        <f aca="false">IF(AND(P_SUMBER="Nasional",ISNUMBER(D32)),D32,IF(ISNUMBER(D57),D57,IF(ISNUMBER(D32),D32,"[BELUM ADA]")))</f>
        <v>1291</v>
      </c>
      <c r="E82" s="153" t="n">
        <f aca="false">IF(AND(P_SUMBER="Nasional",ISNUMBER(E32)),E32,IF(ISNUMBER(E57),E57,IF(ISNUMBER(E32),E32,"[BELUM ADA]")))</f>
        <v>1349</v>
      </c>
      <c r="F82" s="153" t="n">
        <f aca="false">IF(AND(P_SUMBER="Nasional",ISNUMBER(F32)),F32,IF(ISNUMBER(F57),F57,IF(ISNUMBER(F32),F32,"[BELUM ADA]")))</f>
        <v>1043</v>
      </c>
      <c r="G82" s="153" t="n">
        <f aca="false">IF(AND(P_SUMBER="Nasional",ISNUMBER(G32)),G32,IF(ISNUMBER(G57),G57,IF(ISNUMBER(G32),G32,"[BELUM ADA]")))</f>
        <v>757</v>
      </c>
      <c r="H82" s="153" t="n">
        <f aca="false">IF(AND(P_SUMBER="Nasional",ISNUMBER(H32)),H32,IF(ISNUMBER(H7),H7,IF(ISNUMBER(H32),H32,"[TIADA DATA HQ]")))</f>
        <v>947</v>
      </c>
      <c r="I82" s="153" t="n">
        <f aca="false">IF(AND(P_SUMBER="Nasional",ISNUMBER(I32)),I32,IF(ISNUMBER(I7),I7,IF(ISNUMBER(I32),I32,"[TIADA DATA HQ]")))</f>
        <v>756</v>
      </c>
      <c r="J82" s="153" t="n">
        <f aca="false">IF(AND(P_SUMBER="Nasional",ISNUMBER(J32)),J32,IF(ISNUMBER(J7),J7,IF(ISNUMBER(J32),J32,"[TIADA DATA HQ]")))</f>
        <v>834</v>
      </c>
      <c r="K82" s="153" t="n">
        <f aca="false">IF(AND(P_SUMBER="Nasional",ISNUMBER(K32)),K32,IF(ISNUMBER(K7),K7,IF(ISNUMBER(K32),K32,"[TIADA DATA HQ]")))</f>
        <v>825</v>
      </c>
      <c r="L82" s="153" t="n">
        <f aca="false">IF(AND(P_SUMBER="Nasional",ISNUMBER(L32)),L32,IF(ISNUMBER(L7),L7,IF(ISNUMBER(L32),L32,"[TIADA DATA HQ]")))</f>
        <v>733</v>
      </c>
      <c r="M82" s="65" t="str">
        <f aca="false">IF(COUNT(D32:L32)=0,"Tiada sumber nasional: negeri sederhana guna HQ, negeri besar guna data negeri",IF(P_SUMBER="Nasional","Sumber nasional untuk semua 9 negeri","Negeri sederhana guna HQ; negeri besar guna data negeri jika ada, jika tidak sumber nasional"))</f>
        <v>Sumber nasional untuk semua 9 negeri</v>
      </c>
    </row>
    <row r="83" customFormat="false" ht="31.5" hidden="false" customHeight="true" outlineLevel="0" collapsed="false">
      <c r="A83" s="99" t="s">
        <v>169</v>
      </c>
      <c r="B83" s="100" t="s">
        <v>66</v>
      </c>
      <c r="C83" s="62" t="s">
        <v>76</v>
      </c>
      <c r="D83" s="153" t="n">
        <f aca="false">IF(AND(P_SUMBER="Nasional",ISNUMBER(D33)),D33,IF(ISNUMBER(D58),D58,IF(ISNUMBER(D33),D33,"[BELUM ADA]")))</f>
        <v>249</v>
      </c>
      <c r="E83" s="153" t="n">
        <f aca="false">IF(AND(P_SUMBER="Nasional",ISNUMBER(E33)),E33,IF(ISNUMBER(E58),E58,IF(ISNUMBER(E33),E33,"[BELUM ADA]")))</f>
        <v>206</v>
      </c>
      <c r="F83" s="153" t="n">
        <f aca="false">IF(AND(P_SUMBER="Nasional",ISNUMBER(F33)),F33,IF(ISNUMBER(F58),F58,IF(ISNUMBER(F33),F33,"[BELUM ADA]")))</f>
        <v>179</v>
      </c>
      <c r="G83" s="153" t="n">
        <f aca="false">IF(AND(P_SUMBER="Nasional",ISNUMBER(G33)),G33,IF(ISNUMBER(G58),G58,IF(ISNUMBER(G33),G33,"[BELUM ADA]")))</f>
        <v>149</v>
      </c>
      <c r="H83" s="153" t="n">
        <f aca="false">IF(AND(P_SUMBER="Nasional",ISNUMBER(H33)),H33,IF(ISNUMBER(H8),H8,IF(ISNUMBER(H33),H33,"[TIADA DATA HQ]")))</f>
        <v>168</v>
      </c>
      <c r="I83" s="153" t="n">
        <f aca="false">IF(AND(P_SUMBER="Nasional",ISNUMBER(I33)),I33,IF(ISNUMBER(I8),I8,IF(ISNUMBER(I33),I33,"[TIADA DATA HQ]")))</f>
        <v>197</v>
      </c>
      <c r="J83" s="153" t="n">
        <f aca="false">IF(AND(P_SUMBER="Nasional",ISNUMBER(J33)),J33,IF(ISNUMBER(J8),J8,IF(ISNUMBER(J33),J33,"[TIADA DATA HQ]")))</f>
        <v>117</v>
      </c>
      <c r="K83" s="153" t="n">
        <f aca="false">IF(AND(P_SUMBER="Nasional",ISNUMBER(K33)),K33,IF(ISNUMBER(K8),K8,IF(ISNUMBER(K33),K33,"[TIADA DATA HQ]")))</f>
        <v>104</v>
      </c>
      <c r="L83" s="153" t="n">
        <f aca="false">IF(AND(P_SUMBER="Nasional",ISNUMBER(L33)),L33,IF(ISNUMBER(L8),L8,IF(ISNUMBER(L33),L33,"[TIADA DATA HQ]")))</f>
        <v>115</v>
      </c>
      <c r="M83" s="65" t="str">
        <f aca="false">IF(COUNT(D33:L33)=0,"Tiada sumber nasional: negeri sederhana guna HQ, negeri besar guna data negeri",IF(P_SUMBER="Nasional","Sumber nasional untuk semua 9 negeri","Negeri sederhana guna HQ; negeri besar guna data negeri jika ada, jika tidak sumber nasional"))</f>
        <v>Sumber nasional untuk semua 9 negeri</v>
      </c>
    </row>
    <row r="84" customFormat="false" ht="31.5" hidden="false" customHeight="true" outlineLevel="0" collapsed="false">
      <c r="A84" s="99" t="s">
        <v>170</v>
      </c>
      <c r="B84" s="100" t="s">
        <v>66</v>
      </c>
      <c r="C84" s="62" t="s">
        <v>79</v>
      </c>
      <c r="D84" s="153" t="n">
        <f aca="false">IF(AND(P_SUMBER="Nasional",ISNUMBER(D34)),D34,IF(ISNUMBER(D59),D59,IF(ISNUMBER(D34),D34,"[BELUM ADA]")))</f>
        <v>1263</v>
      </c>
      <c r="E84" s="153" t="n">
        <f aca="false">IF(AND(P_SUMBER="Nasional",ISNUMBER(E34)),E34,IF(ISNUMBER(E59),E59,IF(ISNUMBER(E34),E34,"[BELUM ADA]")))</f>
        <v>1465</v>
      </c>
      <c r="F84" s="153" t="n">
        <f aca="false">IF(AND(P_SUMBER="Nasional",ISNUMBER(F34)),F34,IF(ISNUMBER(F59),F59,IF(ISNUMBER(F34),F34,"[BELUM ADA]")))</f>
        <v>1223</v>
      </c>
      <c r="G84" s="153" t="n">
        <f aca="false">IF(AND(P_SUMBER="Nasional",ISNUMBER(G34)),G34,IF(ISNUMBER(G59),G59,IF(ISNUMBER(G34),G34,"[BELUM ADA]")))</f>
        <v>849</v>
      </c>
      <c r="H84" s="153" t="n">
        <f aca="false">IF(AND(P_SUMBER="Nasional",ISNUMBER(H34)),H34,IF(ISNUMBER(H9),H9,IF(ISNUMBER(H34),H34,"[TIADA DATA HQ]")))</f>
        <v>1081</v>
      </c>
      <c r="I84" s="153" t="n">
        <f aca="false">IF(AND(P_SUMBER="Nasional",ISNUMBER(I34)),I34,IF(ISNUMBER(I9),I9,IF(ISNUMBER(I34),I34,"[TIADA DATA HQ]")))</f>
        <v>860</v>
      </c>
      <c r="J84" s="153" t="n">
        <f aca="false">IF(AND(P_SUMBER="Nasional",ISNUMBER(J34)),J34,IF(ISNUMBER(J9),J9,IF(ISNUMBER(J34),J34,"[TIADA DATA HQ]")))</f>
        <v>914</v>
      </c>
      <c r="K84" s="153" t="n">
        <f aca="false">IF(AND(P_SUMBER="Nasional",ISNUMBER(K34)),K34,IF(ISNUMBER(K9),K9,IF(ISNUMBER(K34),K34,"[TIADA DATA HQ]")))</f>
        <v>837</v>
      </c>
      <c r="L84" s="153" t="n">
        <f aca="false">IF(AND(P_SUMBER="Nasional",ISNUMBER(L34)),L34,IF(ISNUMBER(L9),L9,IF(ISNUMBER(L34),L34,"[TIADA DATA HQ]")))</f>
        <v>771</v>
      </c>
      <c r="M84" s="65" t="str">
        <f aca="false">IF(COUNT(D34:L34)=0,"Tiada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5" customFormat="false" ht="31.5" hidden="false" customHeight="true" outlineLevel="0" collapsed="false">
      <c r="A85" s="99" t="s">
        <v>171</v>
      </c>
      <c r="B85" s="100" t="s">
        <v>66</v>
      </c>
      <c r="C85" s="62" t="s">
        <v>82</v>
      </c>
      <c r="D85" s="153" t="n">
        <f aca="false">IF(AND(P_SUMBER="Nasional",ISNUMBER(D35)),D35,IF(ISNUMBER(D60),D60,IF(ISNUMBER(D35),D35,"[BELUM ADA]")))</f>
        <v>16243</v>
      </c>
      <c r="E85" s="153" t="n">
        <f aca="false">IF(AND(P_SUMBER="Nasional",ISNUMBER(E35)),E35,IF(ISNUMBER(E60),E60,IF(ISNUMBER(E35),E35,"[BELUM ADA]")))</f>
        <v>26211</v>
      </c>
      <c r="F85" s="153" t="n">
        <f aca="false">IF(AND(P_SUMBER="Nasional",ISNUMBER(F35)),F35,IF(ISNUMBER(F60),F60,IF(ISNUMBER(F35),F35,"[BELUM ADA]")))</f>
        <v>23984</v>
      </c>
      <c r="G85" s="153" t="n">
        <f aca="false">IF(AND(P_SUMBER="Nasional",ISNUMBER(G35)),G35,IF(ISNUMBER(G60),G60,IF(ISNUMBER(G35),G35,"[BELUM ADA]")))</f>
        <v>15211</v>
      </c>
      <c r="H85" s="153" t="n">
        <f aca="false">IF(AND(P_SUMBER="Nasional",ISNUMBER(H35)),H35,IF(ISNUMBER(H10),H10,IF(ISNUMBER(H35),H35,"[TIADA DATA HQ]")))</f>
        <v>25695</v>
      </c>
      <c r="I85" s="153" t="n">
        <f aca="false">IF(AND(P_SUMBER="Nasional",ISNUMBER(I35)),I35,IF(ISNUMBER(I10),I10,IF(ISNUMBER(I35),I35,"[TIADA DATA HQ]")))</f>
        <v>16794</v>
      </c>
      <c r="J85" s="153" t="n">
        <f aca="false">IF(AND(P_SUMBER="Nasional",ISNUMBER(J35)),J35,IF(ISNUMBER(J10),J10,IF(ISNUMBER(J35),J35,"[TIADA DATA HQ]")))</f>
        <v>15647</v>
      </c>
      <c r="K85" s="153" t="n">
        <f aca="false">IF(AND(P_SUMBER="Nasional",ISNUMBER(K35)),K35,IF(ISNUMBER(K10),K10,IF(ISNUMBER(K35),K35,"[TIADA DATA HQ]")))</f>
        <v>18258</v>
      </c>
      <c r="L85" s="153" t="n">
        <f aca="false">IF(AND(P_SUMBER="Nasional",ISNUMBER(L35)),L35,IF(ISNUMBER(L10),L10,IF(ISNUMBER(L35),L35,"[TIADA DATA HQ]")))</f>
        <v>15723</v>
      </c>
      <c r="M85" s="65" t="str">
        <f aca="false">IF(COUNT(D35:L35)=0,"Tiada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6" customFormat="false" ht="31.5" hidden="false" customHeight="true" outlineLevel="0" collapsed="false">
      <c r="A86" s="99" t="s">
        <v>172</v>
      </c>
      <c r="B86" s="100" t="s">
        <v>66</v>
      </c>
      <c r="C86" s="62" t="s">
        <v>85</v>
      </c>
      <c r="D86" s="153" t="n">
        <f aca="false">IF(AND(P_SUMBER="Nasional",ISNUMBER(D36)),D36,IF(ISNUMBER(D61),D61,IF(ISNUMBER(D36),D36,"[BELUM ADA]")))</f>
        <v>1209</v>
      </c>
      <c r="E86" s="153" t="n">
        <f aca="false">IF(AND(P_SUMBER="Nasional",ISNUMBER(E36)),E36,IF(ISNUMBER(E61),E61,IF(ISNUMBER(E36),E36,"[BELUM ADA]")))</f>
        <v>1397</v>
      </c>
      <c r="F86" s="153" t="n">
        <f aca="false">IF(AND(P_SUMBER="Nasional",ISNUMBER(F36)),F36,IF(ISNUMBER(F61),F61,IF(ISNUMBER(F36),F36,"[BELUM ADA]")))</f>
        <v>1104</v>
      </c>
      <c r="G86" s="153" t="n">
        <f aca="false">IF(AND(P_SUMBER="Nasional",ISNUMBER(G36)),G36,IF(ISNUMBER(G61),G61,IF(ISNUMBER(G36),G36,"[BELUM ADA]")))</f>
        <v>878</v>
      </c>
      <c r="H86" s="153" t="n">
        <f aca="false">IF(AND(P_SUMBER="Nasional",ISNUMBER(H36)),H36,IF(ISNUMBER(H11),H11,IF(ISNUMBER(H36),H36,"[TIADA DATA HQ]")))</f>
        <v>804</v>
      </c>
      <c r="I86" s="153" t="n">
        <f aca="false">IF(AND(P_SUMBER="Nasional",ISNUMBER(I36)),I36,IF(ISNUMBER(I11),I11,IF(ISNUMBER(I36),I36,"[TIADA DATA HQ]")))</f>
        <v>1148</v>
      </c>
      <c r="J86" s="153" t="n">
        <f aca="false">IF(AND(P_SUMBER="Nasional",ISNUMBER(J36)),J36,IF(ISNUMBER(J11),J11,IF(ISNUMBER(J36),J36,"[TIADA DATA HQ]")))</f>
        <v>716</v>
      </c>
      <c r="K86" s="153" t="n">
        <f aca="false">IF(AND(P_SUMBER="Nasional",ISNUMBER(K36)),K36,IF(ISNUMBER(K11),K11,IF(ISNUMBER(K36),K36,"[TIADA DATA HQ]")))</f>
        <v>594</v>
      </c>
      <c r="L86" s="153" t="n">
        <f aca="false">IF(AND(P_SUMBER="Nasional",ISNUMBER(L36)),L36,IF(ISNUMBER(L11),L11,IF(ISNUMBER(L36),L36,"[TIADA DATA HQ]")))</f>
        <v>717</v>
      </c>
      <c r="M86" s="65" t="str">
        <f aca="false">IF(COUNT(D36:L36)=0,"Tiada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7" customFormat="false" ht="31.5" hidden="false" customHeight="true" outlineLevel="0" collapsed="false">
      <c r="A87" s="99" t="s">
        <v>173</v>
      </c>
      <c r="B87" s="100" t="s">
        <v>66</v>
      </c>
      <c r="C87" s="62" t="s">
        <v>88</v>
      </c>
      <c r="D87" s="153" t="n">
        <f aca="false">IF(AND(P_SUMBER="Nasional",ISNUMBER(D37)),D37,IF(ISNUMBER(D62),D62,IF(ISNUMBER(D37),D37,"[BELUM ADA]")))</f>
        <v>37</v>
      </c>
      <c r="E87" s="153" t="n">
        <f aca="false">IF(AND(P_SUMBER="Nasional",ISNUMBER(E37)),E37,IF(ISNUMBER(E62),E62,IF(ISNUMBER(E37),E37,"[BELUM ADA]")))</f>
        <v>36</v>
      </c>
      <c r="F87" s="153" t="n">
        <f aca="false">IF(AND(P_SUMBER="Nasional",ISNUMBER(F37)),F37,IF(ISNUMBER(F62),F62,IF(ISNUMBER(F37),F37,"[BELUM ADA]")))</f>
        <v>20</v>
      </c>
      <c r="G87" s="153" t="n">
        <f aca="false">IF(AND(P_SUMBER="Nasional",ISNUMBER(G37)),G37,IF(ISNUMBER(G62),G62,IF(ISNUMBER(G37),G37,"[BELUM ADA]")))</f>
        <v>21</v>
      </c>
      <c r="H87" s="153" t="n">
        <f aca="false">IF(AND(P_SUMBER="Nasional",ISNUMBER(H37)),H37,IF(ISNUMBER(H12),H12,IF(ISNUMBER(H37),H37,"[TIADA DATA HQ]")))</f>
        <v>18</v>
      </c>
      <c r="I87" s="153" t="n">
        <f aca="false">IF(AND(P_SUMBER="Nasional",ISNUMBER(I37)),I37,IF(ISNUMBER(I12),I12,IF(ISNUMBER(I37),I37,"[TIADA DATA HQ]")))</f>
        <v>15</v>
      </c>
      <c r="J87" s="153" t="n">
        <f aca="false">IF(AND(P_SUMBER="Nasional",ISNUMBER(J37)),J37,IF(ISNUMBER(J12),J12,IF(ISNUMBER(J37),J37,"[TIADA DATA HQ]")))</f>
        <v>19</v>
      </c>
      <c r="K87" s="153" t="n">
        <f aca="false">IF(AND(P_SUMBER="Nasional",ISNUMBER(K37)),K37,IF(ISNUMBER(K12),K12,IF(ISNUMBER(K37),K37,"[TIADA DATA HQ]")))</f>
        <v>16</v>
      </c>
      <c r="L87" s="153" t="n">
        <f aca="false">IF(AND(P_SUMBER="Nasional",ISNUMBER(L37)),L37,IF(ISNUMBER(L12),L12,IF(ISNUMBER(L37),L37,"[TIADA DATA HQ]")))</f>
        <v>17</v>
      </c>
      <c r="M87" s="65" t="str">
        <f aca="false">IF(COUNT(D37:L37)=0,"Tiada sumber nasional: negeri sederhana guna HQ, negeri besar guna data negeri",IF(P_SUMBER="Nasional","Sumber nasional untuk semua 9 negeri","Negeri sederhana guna HQ; negeri besar guna data negeri jika ada, jika tidak sumber nasional"))</f>
        <v>Sumber nasional untuk semua 9 negeri</v>
      </c>
    </row>
    <row r="88" customFormat="false" ht="31.5" hidden="false" customHeight="true" outlineLevel="0" collapsed="false">
      <c r="A88" s="107" t="s">
        <v>174</v>
      </c>
      <c r="B88" s="108" t="s">
        <v>91</v>
      </c>
      <c r="C88" s="70" t="s">
        <v>92</v>
      </c>
      <c r="D88" s="153" t="n">
        <f aca="false">IF(AND(P_SUMBER="Nasional",ISNUMBER(D38)),D38,IF(ISNUMBER(D63),D63,IF(ISNUMBER(D38),D38,"[BELUM ADA]")))</f>
        <v>158</v>
      </c>
      <c r="E88" s="153" t="n">
        <f aca="false">IF(AND(P_SUMBER="Nasional",ISNUMBER(E38)),E38,IF(ISNUMBER(E63),E63,IF(ISNUMBER(E38),E38,"[BELUM ADA]")))</f>
        <v>230</v>
      </c>
      <c r="F88" s="153" t="n">
        <f aca="false">IF(AND(P_SUMBER="Nasional",ISNUMBER(F38)),F38,IF(ISNUMBER(F63),F63,IF(ISNUMBER(F38),F38,"[BELUM ADA]")))</f>
        <v>201</v>
      </c>
      <c r="G88" s="153" t="n">
        <f aca="false">IF(AND(P_SUMBER="Nasional",ISNUMBER(G38)),G38,IF(ISNUMBER(G63),G63,IF(ISNUMBER(G38),G38,"[BELUM ADA]")))</f>
        <v>190</v>
      </c>
      <c r="H88" s="153" t="n">
        <f aca="false">IF(AND(P_SUMBER="Nasional",ISNUMBER(H38)),H38,IF(ISNUMBER(H13),H13,IF(ISNUMBER(H38),H38,"[TIADA DATA HQ]")))</f>
        <v>120</v>
      </c>
      <c r="I88" s="153" t="n">
        <f aca="false">IF(AND(P_SUMBER="Nasional",ISNUMBER(I38)),I38,IF(ISNUMBER(I13),I13,IF(ISNUMBER(I38),I38,"[TIADA DATA HQ]")))</f>
        <v>63</v>
      </c>
      <c r="J88" s="153" t="n">
        <f aca="false">IF(AND(P_SUMBER="Nasional",ISNUMBER(J38)),J38,IF(ISNUMBER(J13),J13,IF(ISNUMBER(J38),J38,"[TIADA DATA HQ]")))</f>
        <v>155</v>
      </c>
      <c r="K88" s="153" t="n">
        <f aca="false">IF(AND(P_SUMBER="Nasional",ISNUMBER(K38)),K38,IF(ISNUMBER(K13),K13,IF(ISNUMBER(K38),K38,"[TIADA DATA HQ]")))</f>
        <v>91</v>
      </c>
      <c r="L88" s="153" t="n">
        <f aca="false">IF(AND(P_SUMBER="Nasional",ISNUMBER(L38)),L38,IF(ISNUMBER(L13),L13,IF(ISNUMBER(L38),L38,"[TIADA DATA HQ]")))</f>
        <v>111</v>
      </c>
      <c r="M88" s="65" t="str">
        <f aca="false">IF(COUNT(D38:L38)=0,"Tiada sumber nasional: negeri sederhana guna HQ, negeri besar guna data negeri",IF(P_SUMBER="Nasional","Sumber nasional untuk semua 9 negeri","Negeri sederhana guna HQ; negeri besar guna data negeri jika ada, jika tidak sumber nasional"))</f>
        <v>Sumber nasional untuk semua 9 negeri</v>
      </c>
    </row>
    <row r="89" customFormat="false" ht="31.5" hidden="false" customHeight="true" outlineLevel="0" collapsed="false">
      <c r="A89" s="107" t="s">
        <v>175</v>
      </c>
      <c r="B89" s="108" t="s">
        <v>91</v>
      </c>
      <c r="C89" s="70" t="s">
        <v>95</v>
      </c>
      <c r="D89" s="153" t="n">
        <f aca="false">IF(AND(P_SUMBER="Nasional",ISNUMBER(D39)),D39,IF(ISNUMBER(D64),D64,IF(ISNUMBER(D39),D39,"[BELUM ADA]")))</f>
        <v>125</v>
      </c>
      <c r="E89" s="153" t="n">
        <f aca="false">IF(AND(P_SUMBER="Nasional",ISNUMBER(E39)),E39,IF(ISNUMBER(E64),E64,IF(ISNUMBER(E39),E39,"[BELUM ADA]")))</f>
        <v>230</v>
      </c>
      <c r="F89" s="153" t="n">
        <f aca="false">IF(AND(P_SUMBER="Nasional",ISNUMBER(F39)),F39,IF(ISNUMBER(F64),F64,IF(ISNUMBER(F39),F39,"[BELUM ADA]")))</f>
        <v>278</v>
      </c>
      <c r="G89" s="153" t="n">
        <f aca="false">IF(AND(P_SUMBER="Nasional",ISNUMBER(G39)),G39,IF(ISNUMBER(G64),G64,IF(ISNUMBER(G39),G39,"[BELUM ADA]")))</f>
        <v>159</v>
      </c>
      <c r="H89" s="153" t="n">
        <f aca="false">IF(AND(P_SUMBER="Nasional",ISNUMBER(H39)),H39,IF(ISNUMBER(H14),H14,IF(ISNUMBER(H39),H39,"[TIADA DATA HQ]")))</f>
        <v>165</v>
      </c>
      <c r="I89" s="153" t="n">
        <f aca="false">IF(AND(P_SUMBER="Nasional",ISNUMBER(I39)),I39,IF(ISNUMBER(I14),I14,IF(ISNUMBER(I39),I39,"[TIADA DATA HQ]")))</f>
        <v>52</v>
      </c>
      <c r="J89" s="153" t="n">
        <f aca="false">IF(AND(P_SUMBER="Nasional",ISNUMBER(J39)),J39,IF(ISNUMBER(J14),J14,IF(ISNUMBER(J39),J39,"[TIADA DATA HQ]")))</f>
        <v>163</v>
      </c>
      <c r="K89" s="153" t="n">
        <f aca="false">IF(AND(P_SUMBER="Nasional",ISNUMBER(K39)),K39,IF(ISNUMBER(K14),K14,IF(ISNUMBER(K39),K39,"[TIADA DATA HQ]")))</f>
        <v>82</v>
      </c>
      <c r="L89" s="153" t="n">
        <f aca="false">IF(AND(P_SUMBER="Nasional",ISNUMBER(L39)),L39,IF(ISNUMBER(L14),L14,IF(ISNUMBER(L39),L39,"[TIADA DATA HQ]")))</f>
        <v>100</v>
      </c>
      <c r="M89" s="65" t="str">
        <f aca="false">IF(COUNT(D39:L39)=0,"Tiada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0" customFormat="false" ht="31.5" hidden="false" customHeight="true" outlineLevel="0" collapsed="false">
      <c r="A90" s="107" t="s">
        <v>176</v>
      </c>
      <c r="B90" s="108" t="s">
        <v>91</v>
      </c>
      <c r="C90" s="70" t="s">
        <v>98</v>
      </c>
      <c r="D90" s="153" t="n">
        <f aca="false">IF(AND(P_SUMBER="Nasional",ISNUMBER(D40)),D40,IF(ISNUMBER(D65),D65,IF(ISNUMBER(D40),D40,"[BELUM ADA]")))</f>
        <v>68</v>
      </c>
      <c r="E90" s="153" t="n">
        <f aca="false">IF(AND(P_SUMBER="Nasional",ISNUMBER(E40)),E40,IF(ISNUMBER(E65),E65,IF(ISNUMBER(E40),E40,"[BELUM ADA]")))</f>
        <v>112</v>
      </c>
      <c r="F90" s="153" t="n">
        <f aca="false">IF(AND(P_SUMBER="Nasional",ISNUMBER(F40)),F40,IF(ISNUMBER(F65),F65,IF(ISNUMBER(F40),F40,"[BELUM ADA]")))</f>
        <v>88</v>
      </c>
      <c r="G90" s="153" t="n">
        <f aca="false">IF(AND(P_SUMBER="Nasional",ISNUMBER(G40)),G40,IF(ISNUMBER(G65),G65,IF(ISNUMBER(G40),G40,"[BELUM ADA]")))</f>
        <v>92</v>
      </c>
      <c r="H90" s="153" t="n">
        <f aca="false">IF(AND(P_SUMBER="Nasional",ISNUMBER(H40)),H40,IF(ISNUMBER(H15),H15,IF(ISNUMBER(H40),H40,"[TIADA DATA HQ]")))</f>
        <v>63</v>
      </c>
      <c r="I90" s="153" t="n">
        <f aca="false">IF(AND(P_SUMBER="Nasional",ISNUMBER(I40)),I40,IF(ISNUMBER(I15),I15,IF(ISNUMBER(I40),I40,"[TIADA DATA HQ]")))</f>
        <v>59</v>
      </c>
      <c r="J90" s="153" t="n">
        <f aca="false">IF(AND(P_SUMBER="Nasional",ISNUMBER(J40)),J40,IF(ISNUMBER(J15),J15,IF(ISNUMBER(J40),J40,"[TIADA DATA HQ]")))</f>
        <v>62</v>
      </c>
      <c r="K90" s="153" t="n">
        <f aca="false">IF(AND(P_SUMBER="Nasional",ISNUMBER(K40)),K40,IF(ISNUMBER(K15),K15,IF(ISNUMBER(K40),K40,"[TIADA DATA HQ]")))</f>
        <v>59</v>
      </c>
      <c r="L90" s="153" t="n">
        <f aca="false">IF(AND(P_SUMBER="Nasional",ISNUMBER(L40)),L40,IF(ISNUMBER(L15),L15,IF(ISNUMBER(L40),L40,"[TIADA DATA HQ]")))</f>
        <v>58</v>
      </c>
      <c r="M90" s="65" t="str">
        <f aca="false">IF(COUNT(D40:L40)=0,"Tiada sumber nasional: negeri sederhana guna HQ, negeri besar guna data negeri",IF(P_SUMBER="Nasional","Sumber nasional untuk semua 9 negeri","Negeri sederhana guna HQ; negeri besar guna data negeri jika ada, jika tidak sumber nasional"))</f>
        <v>Sumber nasional untuk semua 9 negeri</v>
      </c>
    </row>
    <row r="91" customFormat="false" ht="31.5" hidden="false" customHeight="true" outlineLevel="0" collapsed="false">
      <c r="A91" s="107" t="s">
        <v>177</v>
      </c>
      <c r="B91" s="108" t="s">
        <v>91</v>
      </c>
      <c r="C91" s="70" t="s">
        <v>101</v>
      </c>
      <c r="D91" s="153" t="n">
        <f aca="false">IF(AND(P_SUMBER="Nasional",ISNUMBER(D41)),D41,IF(ISNUMBER(D66),D66,IF(ISNUMBER(D41),D41,"[BELUM ADA]")))</f>
        <v>2496</v>
      </c>
      <c r="E91" s="153" t="n">
        <f aca="false">IF(AND(P_SUMBER="Nasional",ISNUMBER(E41)),E41,IF(ISNUMBER(E66),E66,IF(ISNUMBER(E41),E41,"[BELUM ADA]")))</f>
        <v>4081</v>
      </c>
      <c r="F91" s="153" t="n">
        <f aca="false">IF(AND(P_SUMBER="Nasional",ISNUMBER(F41)),F41,IF(ISNUMBER(F66),F66,IF(ISNUMBER(F41),F41,"[BELUM ADA]")))</f>
        <v>2842</v>
      </c>
      <c r="G91" s="153" t="n">
        <f aca="false">IF(AND(P_SUMBER="Nasional",ISNUMBER(G41)),G41,IF(ISNUMBER(G66),G66,IF(ISNUMBER(G41),G41,"[BELUM ADA]")))</f>
        <v>3261</v>
      </c>
      <c r="H91" s="153" t="n">
        <f aca="false">IF(AND(P_SUMBER="Nasional",ISNUMBER(H41)),H41,IF(ISNUMBER(H16),H16,IF(ISNUMBER(H41),H41,"[TIADA DATA HQ]")))</f>
        <v>1032</v>
      </c>
      <c r="I91" s="153" t="n">
        <f aca="false">IF(AND(P_SUMBER="Nasional",ISNUMBER(I41)),I41,IF(ISNUMBER(I16),I16,IF(ISNUMBER(I41),I41,"[TIADA DATA HQ]")))</f>
        <v>1107</v>
      </c>
      <c r="J91" s="153" t="n">
        <f aca="false">IF(AND(P_SUMBER="Nasional",ISNUMBER(J41)),J41,IF(ISNUMBER(J16),J16,IF(ISNUMBER(J41),J41,"[TIADA DATA HQ]")))</f>
        <v>2489</v>
      </c>
      <c r="K91" s="153" t="n">
        <f aca="false">IF(AND(P_SUMBER="Nasional",ISNUMBER(K41)),K41,IF(ISNUMBER(K16),K16,IF(ISNUMBER(K41),K41,"[TIADA DATA HQ]")))</f>
        <v>1071</v>
      </c>
      <c r="L91" s="153" t="n">
        <f aca="false">IF(AND(P_SUMBER="Nasional",ISNUMBER(L41)),L41,IF(ISNUMBER(L16),L16,IF(ISNUMBER(L41),L41,"[TIADA DATA HQ]")))</f>
        <v>1638</v>
      </c>
      <c r="M91" s="65" t="str">
        <f aca="false">IF(COUNT(D41:L41)=0,"Tiada sumber nasional: negeri sederhana guna HQ, negeri besar guna data negeri",IF(P_SUMBER="Nasional","Sumber nasional untuk semua 9 negeri","Negeri sederhana guna HQ; negeri besar guna data negeri jika ada, jika tidak sumber nasional"))</f>
        <v>Sumber nasional untuk semua 9 negeri</v>
      </c>
    </row>
    <row r="92" customFormat="false" ht="31.5" hidden="false" customHeight="true" outlineLevel="0" collapsed="false">
      <c r="A92" s="110" t="s">
        <v>178</v>
      </c>
      <c r="B92" s="111" t="s">
        <v>104</v>
      </c>
      <c r="C92" s="74" t="s">
        <v>105</v>
      </c>
      <c r="D92" s="153" t="n">
        <f aca="false">IF(AND(P_SUMBER="Nasional",ISNUMBER(D42)),D42,IF(ISNUMBER(D67),D67,IF(ISNUMBER(D42),D42,"[BELUM ADA]")))</f>
        <v>6906</v>
      </c>
      <c r="E92" s="153" t="n">
        <f aca="false">IF(AND(P_SUMBER="Nasional",ISNUMBER(E42)),E42,IF(ISNUMBER(E67),E67,IF(ISNUMBER(E42),E42,"[BELUM ADA]")))</f>
        <v>2558</v>
      </c>
      <c r="F92" s="153" t="n">
        <f aca="false">IF(AND(P_SUMBER="Nasional",ISNUMBER(F42)),F42,IF(ISNUMBER(F67),F67,IF(ISNUMBER(F42),F42,"[BELUM ADA]")))</f>
        <v>631</v>
      </c>
      <c r="G92" s="153" t="n">
        <f aca="false">IF(AND(P_SUMBER="Nasional",ISNUMBER(G42)),G42,IF(ISNUMBER(G67),G67,IF(ISNUMBER(G42),G42,"[BELUM ADA]")))</f>
        <v>1079</v>
      </c>
      <c r="H92" s="153" t="n">
        <f aca="false">IF(AND(P_SUMBER="Nasional",ISNUMBER(H42)),H42,IF(ISNUMBER(H17),H17,IF(ISNUMBER(H42),H42,"[TIADA DATA HQ]")))</f>
        <v>373</v>
      </c>
      <c r="I92" s="153" t="n">
        <f aca="false">IF(AND(P_SUMBER="Nasional",ISNUMBER(I42)),I42,IF(ISNUMBER(I17),I17,IF(ISNUMBER(I42),I42,"[TIADA DATA HQ]")))</f>
        <v>2453</v>
      </c>
      <c r="J92" s="153" t="n">
        <f aca="false">IF(AND(P_SUMBER="Nasional",ISNUMBER(J42)),J42,IF(ISNUMBER(J17),J17,IF(ISNUMBER(J42),J42,"[TIADA DATA HQ]")))</f>
        <v>607</v>
      </c>
      <c r="K92" s="153" t="n">
        <f aca="false">IF(AND(P_SUMBER="Nasional",ISNUMBER(K42)),K42,IF(ISNUMBER(K17),K17,IF(ISNUMBER(K42),K42,"[TIADA DATA HQ]")))</f>
        <v>1095</v>
      </c>
      <c r="L92" s="153" t="n">
        <f aca="false">IF(AND(P_SUMBER="Nasional",ISNUMBER(L42)),L42,IF(ISNUMBER(L17),L17,IF(ISNUMBER(L42),L42,"[TIADA DATA HQ]")))</f>
        <v>636</v>
      </c>
      <c r="M92" s="65" t="str">
        <f aca="false">IF(COUNT(D42:L42)=0,"Tiada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3" customFormat="false" ht="31.5" hidden="false" customHeight="true" outlineLevel="0" collapsed="false">
      <c r="A93" s="110" t="s">
        <v>179</v>
      </c>
      <c r="B93" s="111" t="s">
        <v>104</v>
      </c>
      <c r="C93" s="74" t="s">
        <v>107</v>
      </c>
      <c r="D93" s="153" t="n">
        <f aca="false">IF(AND(P_SUMBER="Nasional",ISNUMBER(D43)),D43,IF(ISNUMBER(D68),D68,IF(ISNUMBER(D43),D43,"[BELUM ADA]")))</f>
        <v>2509500</v>
      </c>
      <c r="E93" s="153" t="n">
        <f aca="false">IF(AND(P_SUMBER="Nasional",ISNUMBER(E43)),E43,IF(ISNUMBER(E68),E68,IF(ISNUMBER(E43),E43,"[BELUM ADA]")))</f>
        <v>3592800</v>
      </c>
      <c r="F93" s="153" t="n">
        <f aca="false">IF(AND(P_SUMBER="Nasional",ISNUMBER(F43)),F43,IF(ISNUMBER(F68),F68,IF(ISNUMBER(F43),F43,"[BELUM ADA]")))</f>
        <v>4100900</v>
      </c>
      <c r="G93" s="153" t="n">
        <f aca="false">IF(AND(P_SUMBER="Nasional",ISNUMBER(G43)),G43,IF(ISNUMBER(G68),G68,IF(ISNUMBER(G43),G43,"[BELUM ADA]")))</f>
        <v>2540400</v>
      </c>
      <c r="H93" s="153" t="n">
        <f aca="false">IF(AND(P_SUMBER="Nasional",ISNUMBER(H43)),H43,IF(ISNUMBER(H18),H18,IF(ISNUMBER(H43),H43,"[TIADA DATA HQ]")))</f>
        <v>7205300</v>
      </c>
      <c r="I93" s="153" t="n">
        <f aca="false">IF(AND(P_SUMBER="Nasional",ISNUMBER(I43)),I43,IF(ISNUMBER(I18),I18,IF(ISNUMBER(I43),I43,"[TIADA DATA HQ]")))</f>
        <v>2187500</v>
      </c>
      <c r="J93" s="153" t="n">
        <f aca="false">IF(AND(P_SUMBER="Nasional",ISNUMBER(J43)),J43,IF(ISNUMBER(J18),J18,IF(ISNUMBER(J43),J43,"[TIADA DATA HQ]")))</f>
        <v>1642700</v>
      </c>
      <c r="K93" s="153" t="n">
        <f aca="false">IF(AND(P_SUMBER="Nasional",ISNUMBER(K43)),K43,IF(ISNUMBER(K18),K18,IF(ISNUMBER(K43),K43,"[TIADA DATA HQ]")))</f>
        <v>1209400</v>
      </c>
      <c r="L93" s="153" t="n">
        <f aca="false">IF(AND(P_SUMBER="Nasional",ISNUMBER(L43)),L43,IF(ISNUMBER(L18),L18,IF(ISNUMBER(L43),L43,"[TIADA DATA HQ]")))</f>
        <v>1857600</v>
      </c>
      <c r="M93" s="65" t="str">
        <f aca="false">IF(COUNT(D43:L43)=0,"Tiada sumber nasional: negeri sederhana guna HQ, negeri besar guna data negeri",IF(P_SUMBER="Nasional","Sumber nasional untuk semua 9 negeri","Negeri sederhana guna HQ; negeri besar guna data negeri jika ada, jika tidak sumber nasional"))</f>
        <v>Sumber nasional untuk semua 9 negeri</v>
      </c>
    </row>
    <row r="94" customFormat="false" ht="31.5" hidden="false" customHeight="true" outlineLevel="0" collapsed="false">
      <c r="A94" s="110" t="s">
        <v>180</v>
      </c>
      <c r="B94" s="111" t="s">
        <v>104</v>
      </c>
      <c r="C94" s="74" t="s">
        <v>109</v>
      </c>
      <c r="D94" s="153" t="n">
        <f aca="false">IF(AND(P_SUMBER="Nasional",ISNUMBER(D44)),D44,IF(ISNUMBER(D69),D69,IF(ISNUMBER(D44),D44,"[BELUM ADA]")))</f>
        <v>382</v>
      </c>
      <c r="E94" s="153" t="n">
        <f aca="false">IF(AND(P_SUMBER="Nasional",ISNUMBER(E44)),E44,IF(ISNUMBER(E69),E69,IF(ISNUMBER(E44),E44,"[BELUM ADA]")))</f>
        <v>219</v>
      </c>
      <c r="F94" s="153" t="n">
        <f aca="false">IF(AND(P_SUMBER="Nasional",ISNUMBER(F44)),F44,IF(ISNUMBER(F69),F69,IF(ISNUMBER(F44),F44,"[BELUM ADA]")))</f>
        <v>217</v>
      </c>
      <c r="G94" s="153" t="n">
        <f aca="false">IF(AND(P_SUMBER="Nasional",ISNUMBER(G44)),G44,IF(ISNUMBER(G69),G69,IF(ISNUMBER(G44),G44,"[BELUM ADA]")))</f>
        <v>175</v>
      </c>
      <c r="H94" s="153" t="n">
        <f aca="false">IF(AND(P_SUMBER="Nasional",ISNUMBER(H44)),H44,IF(ISNUMBER(H19),H19,IF(ISNUMBER(H44),H44,"[TIADA DATA HQ]")))</f>
        <v>102</v>
      </c>
      <c r="I94" s="153" t="str">
        <f aca="false">IF(AND(P_SUMBER="Nasional",ISNUMBER(I44)),I44,IF(ISNUMBER(I19),I19,IF(ISNUMBER(I44),I44,"[TIADA DATA HQ]")))</f>
        <v>[TIADA DATA HQ]</v>
      </c>
      <c r="J94" s="153" t="str">
        <f aca="false">IF(AND(P_SUMBER="Nasional",ISNUMBER(J44)),J44,IF(ISNUMBER(J19),J19,IF(ISNUMBER(J44),J44,"[TIADA DATA HQ]")))</f>
        <v>[TIADA DATA HQ]</v>
      </c>
      <c r="K94" s="153" t="n">
        <f aca="false">IF(AND(P_SUMBER="Nasional",ISNUMBER(K44)),K44,IF(ISNUMBER(K19),K19,IF(ISNUMBER(K44),K44,"[TIADA DATA HQ]")))</f>
        <v>54</v>
      </c>
      <c r="L94" s="153" t="n">
        <f aca="false">IF(AND(P_SUMBER="Nasional",ISNUMBER(L44)),L44,IF(ISNUMBER(L19),L19,IF(ISNUMBER(L44),L44,"[TIADA DATA HQ]")))</f>
        <v>123</v>
      </c>
      <c r="M94" s="65" t="str">
        <f aca="false">IF(COUNT(D44:L44)=0,"Tiada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5" customFormat="false" ht="31.5" hidden="false" customHeight="true" outlineLevel="0" collapsed="false">
      <c r="A95" s="110" t="s">
        <v>181</v>
      </c>
      <c r="B95" s="111" t="s">
        <v>104</v>
      </c>
      <c r="C95" s="74" t="s">
        <v>101</v>
      </c>
      <c r="D95" s="153" t="n">
        <f aca="false">IF(AND(P_SUMBER="Nasional",ISNUMBER(D45)),D45,IF(ISNUMBER(D70),D70,IF(ISNUMBER(D45),D45,"[BELUM ADA]")))</f>
        <v>20010</v>
      </c>
      <c r="E95" s="153" t="n">
        <f aca="false">IF(AND(P_SUMBER="Nasional",ISNUMBER(E45)),E45,IF(ISNUMBER(E70),E70,IF(ISNUMBER(E45),E45,"[BELUM ADA]")))</f>
        <v>4313</v>
      </c>
      <c r="F95" s="153" t="n">
        <f aca="false">IF(AND(P_SUMBER="Nasional",ISNUMBER(F45)),F45,IF(ISNUMBER(F70),F70,IF(ISNUMBER(F45),F45,"[BELUM ADA]")))</f>
        <v>2546</v>
      </c>
      <c r="G95" s="153" t="n">
        <f aca="false">IF(AND(P_SUMBER="Nasional",ISNUMBER(G45)),G45,IF(ISNUMBER(G70),G70,IF(ISNUMBER(G45),G45,"[BELUM ADA]")))</f>
        <v>8500</v>
      </c>
      <c r="H95" s="153" t="n">
        <f aca="false">IF(AND(P_SUMBER="Nasional",ISNUMBER(H45)),H45,IF(ISNUMBER(H20),H20,IF(ISNUMBER(H45),H45,"[TIADA DATA HQ]")))</f>
        <v>3404</v>
      </c>
      <c r="I95" s="153" t="str">
        <f aca="false">IF(AND(P_SUMBER="Nasional",ISNUMBER(I45)),I45,IF(ISNUMBER(I20),I20,IF(ISNUMBER(I45),I45,"[TIADA DATA HQ]")))</f>
        <v>[TIADA DATA HQ]</v>
      </c>
      <c r="J95" s="153" t="str">
        <f aca="false">IF(AND(P_SUMBER="Nasional",ISNUMBER(J45)),J45,IF(ISNUMBER(J20),J20,IF(ISNUMBER(J45),J45,"[TIADA DATA HQ]")))</f>
        <v>[TIADA DATA HQ]</v>
      </c>
      <c r="K95" s="153" t="str">
        <f aca="false">IF(AND(P_SUMBER="Nasional",ISNUMBER(K45)),K45,IF(ISNUMBER(K20),K20,IF(ISNUMBER(K45),K45,"[TIADA DATA HQ]")))</f>
        <v>[TIADA DATA HQ]</v>
      </c>
      <c r="L95" s="153" t="n">
        <f aca="false">IF(AND(P_SUMBER="Nasional",ISNUMBER(L45)),L45,IF(ISNUMBER(L20),L20,IF(ISNUMBER(L45),L45,"[TIADA DATA HQ]")))</f>
        <v>13803</v>
      </c>
      <c r="M95" s="65" t="str">
        <f aca="false">IF(COUNT(D45:L45)=0,"Tiada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6" customFormat="false" ht="31.5" hidden="false" customHeight="true" outlineLevel="0" collapsed="false">
      <c r="A96" s="113" t="s">
        <v>182</v>
      </c>
      <c r="B96" s="114" t="s">
        <v>114</v>
      </c>
      <c r="C96" s="78" t="s">
        <v>115</v>
      </c>
      <c r="D96" s="153" t="n">
        <f aca="false">IF(AND(P_SUMBER="Nasional",ISNUMBER(D46)),D46,IF(ISNUMBER(D71),D71,IF(ISNUMBER(D46),D46,"[BELUM ADA]")))</f>
        <v>28630</v>
      </c>
      <c r="E96" s="153" t="n">
        <f aca="false">IF(AND(P_SUMBER="Nasional",ISNUMBER(E46)),E46,IF(ISNUMBER(E71),E71,IF(ISNUMBER(E46),E46,"[BELUM ADA]")))</f>
        <v>36669</v>
      </c>
      <c r="F96" s="153" t="str">
        <f aca="false">IF(AND(P_SUMBER="Nasional",ISNUMBER(F46)),F46,IF(ISNUMBER(F71),F71,IF(ISNUMBER(F46),F46,"[BELUM ADA]")))</f>
        <v>[BELUM ADA]</v>
      </c>
      <c r="G96" s="153" t="n">
        <f aca="false">IF(AND(P_SUMBER="Nasional",ISNUMBER(G46)),G46,IF(ISNUMBER(G71),G71,IF(ISNUMBER(G46),G46,"[BELUM ADA]")))</f>
        <v>30408</v>
      </c>
      <c r="H96" s="153" t="str">
        <f aca="false">IF(AND(P_SUMBER="Nasional",ISNUMBER(H46)),H46,IF(ISNUMBER(H21),H21,IF(ISNUMBER(H46),H46,"[TIADA DATA HQ]")))</f>
        <v>[TIADA DATA HQ]</v>
      </c>
      <c r="I96" s="153" t="str">
        <f aca="false">IF(AND(P_SUMBER="Nasional",ISNUMBER(I46)),I46,IF(ISNUMBER(I21),I21,IF(ISNUMBER(I46),I46,"[TIADA DATA HQ]")))</f>
        <v>[TIADA DATA HQ]</v>
      </c>
      <c r="J96" s="153" t="n">
        <f aca="false">IF(AND(P_SUMBER="Nasional",ISNUMBER(J46)),J46,IF(ISNUMBER(J21),J21,IF(ISNUMBER(J46),J46,"[TIADA DATA HQ]")))</f>
        <v>37916</v>
      </c>
      <c r="K96" s="153" t="str">
        <f aca="false">IF(AND(P_SUMBER="Nasional",ISNUMBER(K46)),K46,IF(ISNUMBER(K21),K21,IF(ISNUMBER(K46),K46,"[TIADA DATA HQ]")))</f>
        <v>[TIADA DATA HQ]</v>
      </c>
      <c r="L96" s="153" t="str">
        <f aca="false">IF(AND(P_SUMBER="Nasional",ISNUMBER(L46)),L46,IF(ISNUMBER(L21),L21,IF(ISNUMBER(L46),L46,"[TIADA DATA HQ]")))</f>
        <v>[TIADA DATA HQ]</v>
      </c>
      <c r="M96" s="65" t="str">
        <f aca="false">IF(COUNT(D46:L46)=0,"Tiada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7" customFormat="false" ht="31.5" hidden="false" customHeight="true" outlineLevel="0" collapsed="false">
      <c r="A97" s="113" t="s">
        <v>183</v>
      </c>
      <c r="B97" s="114" t="s">
        <v>114</v>
      </c>
      <c r="C97" s="78" t="s">
        <v>118</v>
      </c>
      <c r="D97" s="153" t="str">
        <f aca="false">IF(AND(P_SUMBER="Nasional",ISNUMBER(D47)),D47,IF(ISNUMBER(D72),D72,IF(ISNUMBER(D47),D47,"[BELUM ADA]")))</f>
        <v>[BELUM ADA]</v>
      </c>
      <c r="E97" s="153" t="n">
        <f aca="false">IF(AND(P_SUMBER="Nasional",ISNUMBER(E47)),E47,IF(ISNUMBER(E72),E72,IF(ISNUMBER(E47),E47,"[BELUM ADA]")))</f>
        <v>1022</v>
      </c>
      <c r="F97" s="153" t="n">
        <f aca="false">IF(AND(P_SUMBER="Nasional",ISNUMBER(F47)),F47,IF(ISNUMBER(F72),F72,IF(ISNUMBER(F47),F47,"[BELUM ADA]")))</f>
        <v>893</v>
      </c>
      <c r="G97" s="153" t="n">
        <f aca="false">IF(AND(P_SUMBER="Nasional",ISNUMBER(G47)),G47,IF(ISNUMBER(G72),G72,IF(ISNUMBER(G47),G47,"[BELUM ADA]")))</f>
        <v>367</v>
      </c>
      <c r="H97" s="153" t="str">
        <f aca="false">IF(AND(P_SUMBER="Nasional",ISNUMBER(H47)),H47,IF(ISNUMBER(H22),H22,IF(ISNUMBER(H47),H47,"[TIADA DATA HQ]")))</f>
        <v>[TIADA DATA HQ]</v>
      </c>
      <c r="I97" s="153" t="str">
        <f aca="false">IF(AND(P_SUMBER="Nasional",ISNUMBER(I47)),I47,IF(ISNUMBER(I22),I22,IF(ISNUMBER(I47),I47,"[TIADA DATA HQ]")))</f>
        <v>[TIADA DATA HQ]</v>
      </c>
      <c r="J97" s="153" t="n">
        <f aca="false">IF(AND(P_SUMBER="Nasional",ISNUMBER(J47)),J47,IF(ISNUMBER(J22),J22,IF(ISNUMBER(J47),J47,"[TIADA DATA HQ]")))</f>
        <v>808</v>
      </c>
      <c r="K97" s="153" t="str">
        <f aca="false">IF(AND(P_SUMBER="Nasional",ISNUMBER(K47)),K47,IF(ISNUMBER(K22),K22,IF(ISNUMBER(K47),K47,"[TIADA DATA HQ]")))</f>
        <v>[TIADA DATA HQ]</v>
      </c>
      <c r="L97" s="153" t="n">
        <f aca="false">IF(AND(P_SUMBER="Nasional",ISNUMBER(L47)),L47,IF(ISNUMBER(L22),L22,IF(ISNUMBER(L47),L47,"[TIADA DATA HQ]")))</f>
        <v>726</v>
      </c>
      <c r="M97" s="65" t="str">
        <f aca="false">IF(COUNT(D47:L47)=0,"Tiada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8" customFormat="false" ht="31.5" hidden="false" customHeight="true" outlineLevel="0" collapsed="false">
      <c r="A98" s="113" t="s">
        <v>184</v>
      </c>
      <c r="B98" s="114" t="s">
        <v>114</v>
      </c>
      <c r="C98" s="78" t="s">
        <v>121</v>
      </c>
      <c r="D98" s="153" t="n">
        <f aca="false">IF(AND(P_SUMBER="Nasional",ISNUMBER(D48)),D48,IF(ISNUMBER(D73),D73,IF(ISNUMBER(D48),D48,"[BELUM ADA]")))</f>
        <v>6896060.15</v>
      </c>
      <c r="E98" s="153" t="n">
        <f aca="false">IF(AND(P_SUMBER="Nasional",ISNUMBER(E48)),E48,IF(ISNUMBER(E73),E73,IF(ISNUMBER(E48),E48,"[BELUM ADA]")))</f>
        <v>76816481.61</v>
      </c>
      <c r="F98" s="153" t="n">
        <f aca="false">IF(AND(P_SUMBER="Nasional",ISNUMBER(F48)),F48,IF(ISNUMBER(F73),F73,IF(ISNUMBER(F48),F48,"[BELUM ADA]")))</f>
        <v>101223814</v>
      </c>
      <c r="G98" s="153" t="n">
        <f aca="false">IF(AND(P_SUMBER="Nasional",ISNUMBER(G48)),G48,IF(ISNUMBER(G73),G73,IF(ISNUMBER(G48),G48,"[BELUM ADA]")))</f>
        <v>87049719</v>
      </c>
      <c r="H98" s="153" t="str">
        <f aca="false">IF(AND(P_SUMBER="Nasional",ISNUMBER(H48)),H48,IF(ISNUMBER(H23),H23,IF(ISNUMBER(H48),H48,"[TIADA DATA HQ]")))</f>
        <v>[TIADA DATA HQ]</v>
      </c>
      <c r="I98" s="153" t="str">
        <f aca="false">IF(AND(P_SUMBER="Nasional",ISNUMBER(I48)),I48,IF(ISNUMBER(I23),I23,IF(ISNUMBER(I48),I48,"[TIADA DATA HQ]")))</f>
        <v>[TIADA DATA HQ]</v>
      </c>
      <c r="J98" s="153" t="n">
        <f aca="false">IF(AND(P_SUMBER="Nasional",ISNUMBER(J48)),J48,IF(ISNUMBER(J23),J23,IF(ISNUMBER(J48),J48,"[TIADA DATA HQ]")))</f>
        <v>83041540.4</v>
      </c>
      <c r="K98" s="153" t="str">
        <f aca="false">IF(AND(P_SUMBER="Nasional",ISNUMBER(K48)),K48,IF(ISNUMBER(K23),K23,IF(ISNUMBER(K48),K48,"[TIADA DATA HQ]")))</f>
        <v>[TIADA DATA HQ]</v>
      </c>
      <c r="L98" s="153" t="n">
        <f aca="false">IF(AND(P_SUMBER="Nasional",ISNUMBER(L48)),L48,IF(ISNUMBER(L23),L23,IF(ISNUMBER(L48),L48,"[TIADA DATA HQ]")))</f>
        <v>75867626.75</v>
      </c>
      <c r="M98" s="65" t="str">
        <f aca="false">IF(COUNT(D48:L48)=0,"Tiada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9" customFormat="false" ht="31.5" hidden="false" customHeight="true" outlineLevel="0" collapsed="false">
      <c r="A99" s="113" t="s">
        <v>185</v>
      </c>
      <c r="B99" s="114" t="s">
        <v>114</v>
      </c>
      <c r="C99" s="78" t="s">
        <v>124</v>
      </c>
      <c r="D99" s="153" t="n">
        <f aca="false">IF(AND(P_SUMBER="Nasional",ISNUMBER(D49)),D49,IF(ISNUMBER(D74),D74,IF(ISNUMBER(D49),D49,"[BELUM ADA]")))</f>
        <v>8351734.15</v>
      </c>
      <c r="E99" s="153" t="n">
        <f aca="false">IF(AND(P_SUMBER="Nasional",ISNUMBER(E49)),E49,IF(ISNUMBER(E74),E74,IF(ISNUMBER(E49),E49,"[BELUM ADA]")))</f>
        <v>7031639</v>
      </c>
      <c r="F99" s="153" t="n">
        <f aca="false">IF(AND(P_SUMBER="Nasional",ISNUMBER(F49)),F49,IF(ISNUMBER(F74),F74,IF(ISNUMBER(F49),F49,"[BELUM ADA]")))</f>
        <v>3911500</v>
      </c>
      <c r="G99" s="153" t="n">
        <f aca="false">IF(AND(P_SUMBER="Nasional",ISNUMBER(G49)),G49,IF(ISNUMBER(G74),G74,IF(ISNUMBER(G49),G49,"[BELUM ADA]")))</f>
        <v>3038000</v>
      </c>
      <c r="H99" s="153" t="str">
        <f aca="false">IF(AND(P_SUMBER="Nasional",ISNUMBER(H49)),H49,IF(ISNUMBER(H24),H24,IF(ISNUMBER(H49),H49,"[TIADA DATA HQ]")))</f>
        <v>[TIADA DATA HQ]</v>
      </c>
      <c r="I99" s="153" t="str">
        <f aca="false">IF(AND(P_SUMBER="Nasional",ISNUMBER(I49)),I49,IF(ISNUMBER(I24),I24,IF(ISNUMBER(I49),I49,"[TIADA DATA HQ]")))</f>
        <v>[TIADA DATA HQ]</v>
      </c>
      <c r="J99" s="153" t="n">
        <f aca="false">IF(AND(P_SUMBER="Nasional",ISNUMBER(J49)),J49,IF(ISNUMBER(J24),J24,IF(ISNUMBER(J49),J49,"[TIADA DATA HQ]")))</f>
        <v>1849640</v>
      </c>
      <c r="K99" s="153" t="str">
        <f aca="false">IF(AND(P_SUMBER="Nasional",ISNUMBER(K49)),K49,IF(ISNUMBER(K24),K24,IF(ISNUMBER(K49),K49,"[TIADA DATA HQ]")))</f>
        <v>[TIADA DATA HQ]</v>
      </c>
      <c r="L99" s="153" t="n">
        <f aca="false">IF(AND(P_SUMBER="Nasional",ISNUMBER(L49)),L49,IF(ISNUMBER(L24),L24,IF(ISNUMBER(L49),L49,"[TIADA DATA HQ]")))</f>
        <v>1527000</v>
      </c>
      <c r="M99" s="65" t="str">
        <f aca="false">IF(COUNT(D49:L49)=0,"Tiada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0" customFormat="false" ht="31.5" hidden="false" customHeight="true" outlineLevel="0" collapsed="false">
      <c r="A100" s="113" t="s">
        <v>186</v>
      </c>
      <c r="B100" s="114" t="s">
        <v>114</v>
      </c>
      <c r="C100" s="78" t="s">
        <v>127</v>
      </c>
      <c r="D100" s="153" t="n">
        <f aca="false">IF(AND(P_SUMBER="Nasional",ISNUMBER(D50)),D50,IF(ISNUMBER(D75),D75,IF(ISNUMBER(D50),D50,"[BELUM ADA]")))</f>
        <v>15000</v>
      </c>
      <c r="E100" s="153" t="n">
        <f aca="false">IF(AND(P_SUMBER="Nasional",ISNUMBER(E50)),E50,IF(ISNUMBER(E75),E75,IF(ISNUMBER(E50),E50,"[BELUM ADA]")))</f>
        <v>3997</v>
      </c>
      <c r="F100" s="153" t="n">
        <f aca="false">IF(AND(P_SUMBER="Nasional",ISNUMBER(F50)),F50,IF(ISNUMBER(F75),F75,IF(ISNUMBER(F50),F50,"[BELUM ADA]")))</f>
        <v>4825</v>
      </c>
      <c r="G100" s="153" t="n">
        <f aca="false">IF(AND(P_SUMBER="Nasional",ISNUMBER(G50)),G50,IF(ISNUMBER(G75),G75,IF(ISNUMBER(G50),G50,"[BELUM ADA]")))</f>
        <v>7500</v>
      </c>
      <c r="H100" s="153" t="str">
        <f aca="false">IF(AND(P_SUMBER="Nasional",ISNUMBER(H50)),H50,IF(ISNUMBER(H25),H25,IF(ISNUMBER(H50),H50,"[TIADA DATA HQ]")))</f>
        <v>[TIADA DATA HQ]</v>
      </c>
      <c r="I100" s="153" t="str">
        <f aca="false">IF(AND(P_SUMBER="Nasional",ISNUMBER(I50)),I50,IF(ISNUMBER(I25),I25,IF(ISNUMBER(I50),I50,"[TIADA DATA HQ]")))</f>
        <v>[TIADA DATA HQ]</v>
      </c>
      <c r="J100" s="153" t="n">
        <f aca="false">IF(AND(P_SUMBER="Nasional",ISNUMBER(J50)),J50,IF(ISNUMBER(J25),J25,IF(ISNUMBER(J50),J50,"[TIADA DATA HQ]")))</f>
        <v>3568</v>
      </c>
      <c r="K100" s="153" t="str">
        <f aca="false">IF(AND(P_SUMBER="Nasional",ISNUMBER(K50)),K50,IF(ISNUMBER(K25),K25,IF(ISNUMBER(K50),K50,"[TIADA DATA HQ]")))</f>
        <v>[TIADA DATA HQ]</v>
      </c>
      <c r="L100" s="153" t="str">
        <f aca="false">IF(AND(P_SUMBER="Nasional",ISNUMBER(L50)),L50,IF(ISNUMBER(L25),L25,IF(ISNUMBER(L50),L50,"[TIADA DATA HQ]")))</f>
        <v>[TIADA DATA HQ]</v>
      </c>
      <c r="M100" s="65" t="str">
        <f aca="false">IF(COUNT(D50:L50)=0,"Tiada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1" customFormat="false" ht="31.5" hidden="false" customHeight="true" outlineLevel="0" collapsed="false">
      <c r="A101" s="113" t="s">
        <v>187</v>
      </c>
      <c r="B101" s="114" t="s">
        <v>114</v>
      </c>
      <c r="C101" s="78" t="s">
        <v>130</v>
      </c>
      <c r="D101" s="153" t="n">
        <f aca="false">IF(AND(P_SUMBER="Nasional",ISNUMBER(D51)),D51,IF(ISNUMBER(D76),D76,IF(ISNUMBER(D51),D51,"[BELUM ADA]")))</f>
        <v>507</v>
      </c>
      <c r="E101" s="153" t="n">
        <f aca="false">IF(AND(P_SUMBER="Nasional",ISNUMBER(E51)),E51,IF(ISNUMBER(E76),E76,IF(ISNUMBER(E51),E51,"[BELUM ADA]")))</f>
        <v>204</v>
      </c>
      <c r="F101" s="153" t="n">
        <f aca="false">IF(AND(P_SUMBER="Nasional",ISNUMBER(F51)),F51,IF(ISNUMBER(F76),F76,IF(ISNUMBER(F51),F51,"[BELUM ADA]")))</f>
        <v>46</v>
      </c>
      <c r="G101" s="153" t="n">
        <f aca="false">IF(AND(P_SUMBER="Nasional",ISNUMBER(G51)),G51,IF(ISNUMBER(G76),G76,IF(ISNUMBER(G51),G51,"[BELUM ADA]")))</f>
        <v>450</v>
      </c>
      <c r="H101" s="153" t="n">
        <f aca="false">IF(AND(P_SUMBER="Nasional",ISNUMBER(H51)),H51,IF(ISNUMBER(H26),H26,IF(ISNUMBER(H51),H51,"[TIADA DATA HQ]")))</f>
        <v>278</v>
      </c>
      <c r="I101" s="153" t="n">
        <f aca="false">IF(AND(P_SUMBER="Nasional",ISNUMBER(I51)),I51,IF(ISNUMBER(I26),I26,IF(ISNUMBER(I51),I51,"[TIADA DATA HQ]")))</f>
        <v>250</v>
      </c>
      <c r="J101" s="153" t="n">
        <f aca="false">IF(AND(P_SUMBER="Nasional",ISNUMBER(J51)),J51,IF(ISNUMBER(J26),J26,IF(ISNUMBER(J51),J51,"[TIADA DATA HQ]")))</f>
        <v>259</v>
      </c>
      <c r="K101" s="153" t="n">
        <f aca="false">IF(AND(P_SUMBER="Nasional",ISNUMBER(K51)),K51,IF(ISNUMBER(K26),K26,IF(ISNUMBER(K51),K51,"[TIADA DATA HQ]")))</f>
        <v>184</v>
      </c>
      <c r="L101" s="153" t="n">
        <f aca="false">IF(AND(P_SUMBER="Nasional",ISNUMBER(L51)),L51,IF(ISNUMBER(L26),L26,IF(ISNUMBER(L51),L51,"[TIADA DATA HQ]")))</f>
        <v>31</v>
      </c>
      <c r="M101" s="65" t="str">
        <f aca="false">IF(COUNT(D51:L51)=0,"Tiada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2" customFormat="false" ht="31.5" hidden="false" customHeight="true" outlineLevel="0" collapsed="false">
      <c r="A102" s="113" t="s">
        <v>188</v>
      </c>
      <c r="B102" s="114" t="s">
        <v>114</v>
      </c>
      <c r="C102" s="78" t="s">
        <v>133</v>
      </c>
      <c r="D102" s="153" t="n">
        <f aca="false">IF(AND(P_SUMBER="Nasional",ISNUMBER(D52)),D52,IF(ISNUMBER(D77),D77,IF(ISNUMBER(D52),D52,"[BELUM ADA]")))</f>
        <v>2032</v>
      </c>
      <c r="E102" s="153" t="n">
        <f aca="false">IF(AND(P_SUMBER="Nasional",ISNUMBER(E52)),E52,IF(ISNUMBER(E77),E77,IF(ISNUMBER(E52),E52,"[BELUM ADA]")))</f>
        <v>2146</v>
      </c>
      <c r="F102" s="153" t="n">
        <f aca="false">IF(AND(P_SUMBER="Nasional",ISNUMBER(F52)),F52,IF(ISNUMBER(F77),F77,IF(ISNUMBER(F52),F52,"[BELUM ADA]")))</f>
        <v>1508</v>
      </c>
      <c r="G102" s="153" t="n">
        <f aca="false">IF(AND(P_SUMBER="Nasional",ISNUMBER(G52)),G52,IF(ISNUMBER(G77),G77,IF(ISNUMBER(G52),G52,"[BELUM ADA]")))</f>
        <v>1223</v>
      </c>
      <c r="H102" s="153" t="n">
        <f aca="false">IF(AND(P_SUMBER="Nasional",ISNUMBER(H52)),H52,IF(ISNUMBER(H27),H27,IF(ISNUMBER(H52),H52,"[TIADA DATA HQ]")))</f>
        <v>1328</v>
      </c>
      <c r="I102" s="153" t="n">
        <f aca="false">IF(AND(P_SUMBER="Nasional",ISNUMBER(I52)),I52,IF(ISNUMBER(I27),I27,IF(ISNUMBER(I52),I52,"[TIADA DATA HQ]")))</f>
        <v>1159</v>
      </c>
      <c r="J102" s="153" t="n">
        <f aca="false">IF(AND(P_SUMBER="Nasional",ISNUMBER(J52)),J52,IF(ISNUMBER(J27),J27,IF(ISNUMBER(J52),J52,"[TIADA DATA HQ]")))</f>
        <v>1187</v>
      </c>
      <c r="K102" s="153" t="n">
        <f aca="false">IF(AND(P_SUMBER="Nasional",ISNUMBER(K52)),K52,IF(ISNUMBER(K27),K27,IF(ISNUMBER(K52),K52,"[TIADA DATA HQ]")))</f>
        <v>1313</v>
      </c>
      <c r="L102" s="153" t="n">
        <f aca="false">IF(AND(P_SUMBER="Nasional",ISNUMBER(L52)),L52,IF(ISNUMBER(L27),L27,IF(ISNUMBER(L52),L52,"[TIADA DATA HQ]")))</f>
        <v>910</v>
      </c>
      <c r="M102" s="65" t="str">
        <f aca="false">IF(COUNT(D52:L52)=0,"Tiada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4" customFormat="false" ht="19.5" hidden="false" customHeight="true" outlineLevel="0" collapsed="false">
      <c r="A104" s="144" t="s">
        <v>293</v>
      </c>
      <c r="B104" s="144"/>
      <c r="C104" s="144"/>
      <c r="D104" s="144"/>
      <c r="E104" s="144"/>
      <c r="F104" s="144"/>
      <c r="G104" s="144"/>
      <c r="H104" s="144"/>
      <c r="I104" s="144"/>
      <c r="J104" s="144"/>
      <c r="K104" s="144"/>
      <c r="L104" s="144"/>
      <c r="M104" s="144"/>
    </row>
    <row r="105" customFormat="false" ht="31.5" hidden="false" customHeight="true" outlineLevel="0" collapsed="false">
      <c r="A105" s="154" t="s">
        <v>294</v>
      </c>
      <c r="B105" s="155" t="s">
        <v>295</v>
      </c>
      <c r="C105" s="139" t="s">
        <v>225</v>
      </c>
      <c r="D105" s="147" t="n">
        <v>124450</v>
      </c>
      <c r="E105" s="147" t="n">
        <v>73904</v>
      </c>
      <c r="F105" s="147" t="n">
        <v>19210</v>
      </c>
      <c r="G105" s="147" t="n">
        <v>21035</v>
      </c>
      <c r="H105" s="147" t="n">
        <v>8104</v>
      </c>
      <c r="I105" s="147" t="n">
        <v>9500</v>
      </c>
      <c r="J105" s="147" t="n">
        <v>36137</v>
      </c>
      <c r="K105" s="147" t="n">
        <v>13035</v>
      </c>
      <c r="L105" s="147" t="n">
        <v>15099</v>
      </c>
      <c r="M105" s="65" t="s">
        <v>296</v>
      </c>
    </row>
    <row r="107" customFormat="false" ht="19.5" hidden="false" customHeight="true" outlineLevel="0" collapsed="false">
      <c r="A107" s="156" t="s">
        <v>297</v>
      </c>
      <c r="B107" s="156"/>
      <c r="C107" s="156"/>
      <c r="D107" s="156"/>
      <c r="E107" s="156"/>
      <c r="F107" s="156"/>
      <c r="G107" s="156"/>
      <c r="H107" s="156"/>
      <c r="I107" s="156"/>
      <c r="J107" s="156"/>
      <c r="K107" s="156"/>
      <c r="L107" s="156"/>
      <c r="M107" s="156"/>
    </row>
    <row r="108" customFormat="false" ht="31.5" hidden="false" customHeight="true" outlineLevel="0" collapsed="false">
      <c r="A108" s="157" t="s">
        <v>298</v>
      </c>
      <c r="B108" s="158" t="s">
        <v>299</v>
      </c>
      <c r="C108" s="158"/>
      <c r="D108" s="81"/>
      <c r="E108" s="147" t="n">
        <v>2558</v>
      </c>
      <c r="F108" s="81"/>
      <c r="G108" s="81"/>
      <c r="H108" s="81"/>
      <c r="I108" s="81"/>
      <c r="J108" s="81"/>
      <c r="K108" s="81"/>
      <c r="L108" s="81"/>
      <c r="M108" s="65" t="s">
        <v>300</v>
      </c>
    </row>
    <row r="109" customFormat="false" ht="31.5" hidden="false" customHeight="true" outlineLevel="0" collapsed="false">
      <c r="A109" s="157" t="s">
        <v>298</v>
      </c>
      <c r="B109" s="158" t="s">
        <v>301</v>
      </c>
      <c r="C109" s="158"/>
      <c r="D109" s="81"/>
      <c r="E109" s="147" t="n">
        <v>2097551</v>
      </c>
      <c r="F109" s="81"/>
      <c r="G109" s="81"/>
      <c r="H109" s="81"/>
      <c r="I109" s="81"/>
      <c r="J109" s="81"/>
      <c r="K109" s="81"/>
      <c r="L109" s="81"/>
      <c r="M109" s="65" t="s">
        <v>302</v>
      </c>
    </row>
    <row r="110" customFormat="false" ht="31.5" hidden="false" customHeight="true" outlineLevel="0" collapsed="false">
      <c r="A110" s="157" t="s">
        <v>298</v>
      </c>
      <c r="B110" s="158" t="s">
        <v>303</v>
      </c>
      <c r="C110" s="158"/>
      <c r="D110" s="81"/>
      <c r="E110" s="159" t="str">
        <f aca="false">IF(COUNT('Borang Negeri'!G32:G36)=5,"Lengkap","Had bawah")</f>
        <v>Had bawah</v>
      </c>
      <c r="F110" s="81"/>
      <c r="G110" s="81"/>
      <c r="H110" s="81"/>
      <c r="I110" s="81"/>
      <c r="J110" s="81"/>
      <c r="K110" s="81"/>
      <c r="L110" s="81"/>
      <c r="M110" s="65" t="s">
        <v>304</v>
      </c>
    </row>
    <row r="111" customFormat="false" ht="31.5" hidden="false" customHeight="true" outlineLevel="0" collapsed="false">
      <c r="A111" s="157" t="s">
        <v>298</v>
      </c>
      <c r="B111" s="158" t="s">
        <v>305</v>
      </c>
      <c r="C111" s="158"/>
      <c r="D111" s="81"/>
      <c r="E111" s="159" t="str">
        <f aca="false">IF(COUNT('Borang Negeri'!H32:H35)=4,"Lengkap","Had bawah")</f>
        <v>Had bawah</v>
      </c>
      <c r="F111" s="81"/>
      <c r="G111" s="81"/>
      <c r="H111" s="81"/>
      <c r="I111" s="81"/>
      <c r="J111" s="81"/>
      <c r="K111" s="81"/>
      <c r="L111" s="81"/>
      <c r="M111" s="65" t="s">
        <v>306</v>
      </c>
    </row>
    <row r="112" customFormat="false" ht="31.5" hidden="false" customHeight="true" outlineLevel="0" collapsed="false">
      <c r="A112" s="157" t="s">
        <v>298</v>
      </c>
      <c r="B112" s="158" t="s">
        <v>307</v>
      </c>
      <c r="C112" s="158"/>
      <c r="D112" s="147" t="n">
        <v>2032</v>
      </c>
      <c r="E112" s="147" t="n">
        <v>2146</v>
      </c>
      <c r="F112" s="147" t="n">
        <v>1508</v>
      </c>
      <c r="G112" s="147" t="n">
        <v>1223</v>
      </c>
      <c r="H112" s="81"/>
      <c r="I112" s="81"/>
      <c r="J112" s="81"/>
      <c r="K112" s="81"/>
      <c r="L112" s="81"/>
      <c r="M112" s="65" t="s">
        <v>308</v>
      </c>
    </row>
    <row r="113" customFormat="false" ht="31.5" hidden="false" customHeight="true" outlineLevel="0" collapsed="false">
      <c r="A113" s="157" t="s">
        <v>298</v>
      </c>
      <c r="B113" s="158" t="s">
        <v>309</v>
      </c>
      <c r="C113" s="158"/>
      <c r="D113" s="159" t="str">
        <f aca="false">IF(ISNUMBER('Borang Negeri'!G28),"Disahkan (Borang)","L3")</f>
        <v>L3</v>
      </c>
      <c r="E113" s="159" t="str">
        <f aca="false">IF(ISNUMBER('Borang Negeri'!H28),"Disahkan (Borang)","Anggaran L4")</f>
        <v>Anggaran L4</v>
      </c>
      <c r="F113" s="159" t="str">
        <f aca="false">IF(ISNUMBER('Borang Negeri'!I28),"Disahkan (Borang)","Anggaran L4")</f>
        <v>Anggaran L4</v>
      </c>
      <c r="G113" s="159" t="str">
        <f aca="false">IF(ISNUMBER('Borang Negeri'!J28),"Disahkan (Borang)","L3")</f>
        <v>L3</v>
      </c>
      <c r="H113" s="81"/>
      <c r="I113" s="81"/>
      <c r="J113" s="81"/>
      <c r="K113" s="81"/>
      <c r="L113" s="81"/>
      <c r="M113" s="65" t="s">
        <v>310</v>
      </c>
    </row>
    <row r="114" customFormat="false" ht="31.5" hidden="false" customHeight="true" outlineLevel="0" collapsed="false">
      <c r="A114" s="157" t="s">
        <v>298</v>
      </c>
      <c r="B114" s="158" t="s">
        <v>311</v>
      </c>
      <c r="C114" s="158"/>
      <c r="D114" s="160" t="n">
        <v>2.5</v>
      </c>
      <c r="E114" s="160" t="n">
        <v>3.8</v>
      </c>
      <c r="F114" s="160" t="n">
        <v>4.2</v>
      </c>
      <c r="G114" s="160" t="n">
        <v>2.6</v>
      </c>
      <c r="H114" s="160" t="n">
        <v>7.5</v>
      </c>
      <c r="I114" s="160" t="n">
        <v>2.2</v>
      </c>
      <c r="J114" s="160" t="n">
        <v>1.7</v>
      </c>
      <c r="K114" s="160" t="n">
        <v>1.3</v>
      </c>
      <c r="L114" s="160" t="n">
        <v>1.9</v>
      </c>
      <c r="M114" s="65" t="s">
        <v>312</v>
      </c>
    </row>
    <row r="115" customFormat="false" ht="31.5" hidden="false" customHeight="true" outlineLevel="0" collapsed="false">
      <c r="A115" s="157" t="s">
        <v>298</v>
      </c>
      <c r="B115" s="158" t="s">
        <v>313</v>
      </c>
      <c r="C115" s="158"/>
      <c r="D115" s="147" t="n">
        <v>9</v>
      </c>
      <c r="E115" s="147" t="n">
        <v>11</v>
      </c>
      <c r="F115" s="147" t="n">
        <v>0</v>
      </c>
      <c r="G115" s="147" t="n">
        <v>8</v>
      </c>
      <c r="H115" s="147" t="n">
        <v>65</v>
      </c>
      <c r="I115" s="147" t="n">
        <v>1</v>
      </c>
      <c r="J115" s="147" t="n">
        <v>22</v>
      </c>
      <c r="K115" s="147" t="n">
        <v>1</v>
      </c>
      <c r="L115" s="147" t="n">
        <v>6</v>
      </c>
      <c r="M115" s="65" t="s">
        <v>314</v>
      </c>
    </row>
    <row r="116" customFormat="false" ht="31.5" hidden="false" customHeight="true" outlineLevel="0" collapsed="false">
      <c r="A116" s="157" t="s">
        <v>298</v>
      </c>
      <c r="B116" s="158" t="s">
        <v>315</v>
      </c>
      <c r="C116" s="158"/>
      <c r="D116" s="147" t="n">
        <v>19</v>
      </c>
      <c r="E116" s="147" t="n">
        <v>19</v>
      </c>
      <c r="F116" s="147" t="n">
        <v>7</v>
      </c>
      <c r="G116" s="147" t="n">
        <v>2</v>
      </c>
      <c r="H116" s="81"/>
      <c r="I116" s="81"/>
      <c r="J116" s="81"/>
      <c r="K116" s="81"/>
      <c r="L116" s="81"/>
      <c r="M116" s="65" t="s">
        <v>316</v>
      </c>
    </row>
  </sheetData>
  <mergeCells count="17">
    <mergeCell ref="A1:M1"/>
    <mergeCell ref="A2:M2"/>
    <mergeCell ref="A4:M4"/>
    <mergeCell ref="A29:M29"/>
    <mergeCell ref="A54:M54"/>
    <mergeCell ref="A79:M79"/>
    <mergeCell ref="A104:M104"/>
    <mergeCell ref="A107:M107"/>
    <mergeCell ref="B108:C108"/>
    <mergeCell ref="B109:C109"/>
    <mergeCell ref="B110:C110"/>
    <mergeCell ref="B111:C111"/>
    <mergeCell ref="B112:C112"/>
    <mergeCell ref="B113:C113"/>
    <mergeCell ref="B114:C114"/>
    <mergeCell ref="B115:C115"/>
    <mergeCell ref="B116:C116"/>
  </mergeCells>
  <conditionalFormatting sqref="D80:L102">
    <cfRule type="expression" priority="2" aboveAverage="0" equalAverage="0" bottom="0" percent="0" rank="0" text="" dxfId="0">
      <formula>ISNUMBER(SEARCH("[",D80))</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12" topLeftCell="G13" activePane="bottomRight" state="frozen"/>
      <selection pane="topLeft" activeCell="A1" activeCellId="0" sqref="A1"/>
      <selection pane="topRight" activeCell="G1" activeCellId="0" sqref="G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30"/>
    <col collapsed="false" customWidth="true" hidden="false" outlineLevel="0" max="4" min="4" style="0" width="54"/>
    <col collapsed="false" customWidth="true" hidden="false" outlineLevel="0" max="5" min="5" style="0" width="9"/>
    <col collapsed="false" customWidth="true" hidden="false" outlineLevel="0" max="6" min="6" style="0" width="22"/>
    <col collapsed="false" customWidth="true" hidden="false" outlineLevel="0" max="10" min="7" style="0" width="13"/>
    <col collapsed="false" customWidth="true" hidden="false" outlineLevel="0" max="11" min="11" style="0" width="14"/>
    <col collapsed="false" customWidth="true" hidden="false" outlineLevel="0" max="12" min="12" style="0" width="44"/>
  </cols>
  <sheetData>
    <row r="1" customFormat="false" ht="30" hidden="false" customHeight="true" outlineLevel="0" collapsed="false">
      <c r="A1" s="1" t="s">
        <v>317</v>
      </c>
      <c r="B1" s="1"/>
      <c r="C1" s="1"/>
      <c r="D1" s="1"/>
      <c r="E1" s="1"/>
      <c r="F1" s="1"/>
      <c r="G1" s="1"/>
      <c r="H1" s="1"/>
      <c r="I1" s="1"/>
      <c r="J1" s="1"/>
      <c r="K1" s="1"/>
      <c r="L1" s="1"/>
    </row>
    <row r="2" customFormat="false" ht="18" hidden="false" customHeight="true" outlineLevel="0" collapsed="false">
      <c r="A2" s="2" t="s">
        <v>318</v>
      </c>
      <c r="B2" s="2"/>
      <c r="C2" s="2"/>
      <c r="D2" s="2"/>
      <c r="E2" s="2"/>
      <c r="F2" s="2"/>
      <c r="G2" s="2"/>
      <c r="H2" s="2"/>
      <c r="I2" s="2"/>
      <c r="J2" s="2"/>
      <c r="K2" s="2"/>
      <c r="L2" s="2"/>
    </row>
    <row r="4" customFormat="false" ht="19.5" hidden="false" customHeight="true" outlineLevel="0" collapsed="false">
      <c r="A4" s="161" t="s">
        <v>319</v>
      </c>
      <c r="B4" s="161"/>
      <c r="C4" s="161"/>
      <c r="D4" s="161"/>
      <c r="E4" s="161"/>
      <c r="F4" s="161"/>
      <c r="G4" s="161"/>
      <c r="H4" s="161"/>
      <c r="I4" s="161"/>
      <c r="J4" s="161"/>
      <c r="K4" s="161"/>
      <c r="L4" s="161"/>
    </row>
    <row r="5" customFormat="false" ht="18" hidden="false" customHeight="true" outlineLevel="0" collapsed="false">
      <c r="A5" s="87" t="n">
        <v>1</v>
      </c>
      <c r="B5" s="52" t="s">
        <v>320</v>
      </c>
      <c r="C5" s="52"/>
      <c r="D5" s="52"/>
      <c r="E5" s="52"/>
      <c r="F5" s="52"/>
      <c r="G5" s="52"/>
      <c r="H5" s="52"/>
      <c r="I5" s="52"/>
      <c r="J5" s="52"/>
      <c r="K5" s="52"/>
      <c r="L5" s="52"/>
    </row>
    <row r="6" customFormat="false" ht="18" hidden="false" customHeight="true" outlineLevel="0" collapsed="false">
      <c r="A6" s="95" t="n">
        <v>2</v>
      </c>
      <c r="B6" s="44" t="s">
        <v>321</v>
      </c>
      <c r="C6" s="44"/>
      <c r="D6" s="44"/>
      <c r="E6" s="44"/>
      <c r="F6" s="44"/>
      <c r="G6" s="44"/>
      <c r="H6" s="44"/>
      <c r="I6" s="44"/>
      <c r="J6" s="44"/>
      <c r="K6" s="44"/>
      <c r="L6" s="44"/>
    </row>
    <row r="7" customFormat="false" ht="18" hidden="false" customHeight="true" outlineLevel="0" collapsed="false">
      <c r="A7" s="162" t="n">
        <v>3</v>
      </c>
      <c r="B7" s="56" t="s">
        <v>322</v>
      </c>
      <c r="C7" s="56"/>
      <c r="D7" s="56"/>
      <c r="E7" s="56"/>
      <c r="F7" s="56"/>
      <c r="G7" s="56"/>
      <c r="H7" s="56"/>
      <c r="I7" s="56"/>
      <c r="J7" s="56"/>
      <c r="K7" s="56"/>
      <c r="L7" s="56"/>
    </row>
    <row r="8" customFormat="false" ht="18" hidden="false" customHeight="true" outlineLevel="0" collapsed="false">
      <c r="A8" s="93" t="n">
        <v>4</v>
      </c>
      <c r="B8" s="50" t="s">
        <v>323</v>
      </c>
      <c r="C8" s="50"/>
      <c r="D8" s="50"/>
      <c r="E8" s="50"/>
      <c r="F8" s="50"/>
      <c r="G8" s="50"/>
      <c r="H8" s="50"/>
      <c r="I8" s="50"/>
      <c r="J8" s="50"/>
      <c r="K8" s="50"/>
      <c r="L8" s="50"/>
    </row>
    <row r="9" customFormat="false" ht="18" hidden="false" customHeight="true" outlineLevel="0" collapsed="false">
      <c r="A9" s="90" t="n">
        <v>5</v>
      </c>
      <c r="B9" s="92" t="s">
        <v>324</v>
      </c>
      <c r="C9" s="92"/>
      <c r="D9" s="92"/>
      <c r="E9" s="92"/>
      <c r="F9" s="92"/>
      <c r="G9" s="92"/>
      <c r="H9" s="92"/>
      <c r="I9" s="92"/>
      <c r="J9" s="92"/>
      <c r="K9" s="92"/>
      <c r="L9" s="92"/>
    </row>
    <row r="11" customFormat="false" ht="19.5" hidden="false" customHeight="true" outlineLevel="0" collapsed="false">
      <c r="A11" s="4" t="s">
        <v>325</v>
      </c>
      <c r="B11" s="4"/>
      <c r="C11" s="4"/>
      <c r="D11" s="4"/>
      <c r="E11" s="4"/>
      <c r="F11" s="4"/>
      <c r="G11" s="4"/>
      <c r="H11" s="4"/>
      <c r="I11" s="4"/>
      <c r="J11" s="4"/>
      <c r="K11" s="4"/>
      <c r="L11" s="4"/>
    </row>
    <row r="12" customFormat="false" ht="17.25" hidden="false" customHeight="true" outlineLevel="0" collapsed="false">
      <c r="A12" s="24" t="s">
        <v>58</v>
      </c>
      <c r="B12" s="24" t="s">
        <v>326</v>
      </c>
      <c r="C12" s="24" t="s">
        <v>223</v>
      </c>
      <c r="D12" s="24" t="s">
        <v>327</v>
      </c>
      <c r="E12" s="24" t="s">
        <v>328</v>
      </c>
      <c r="F12" s="24" t="s">
        <v>329</v>
      </c>
      <c r="G12" s="24" t="s">
        <v>29</v>
      </c>
      <c r="H12" s="24" t="s">
        <v>31</v>
      </c>
      <c r="I12" s="24" t="s">
        <v>32</v>
      </c>
      <c r="J12" s="24" t="s">
        <v>33</v>
      </c>
      <c r="K12" s="24" t="s">
        <v>330</v>
      </c>
      <c r="L12" s="24" t="s">
        <v>331</v>
      </c>
    </row>
    <row r="13" customFormat="false" ht="112.5" hidden="false" customHeight="true" outlineLevel="0" collapsed="false">
      <c r="A13" s="163" t="s">
        <v>332</v>
      </c>
      <c r="B13" s="163" t="s">
        <v>171</v>
      </c>
      <c r="C13" s="164" t="s">
        <v>82</v>
      </c>
      <c r="D13" s="164" t="s">
        <v>333</v>
      </c>
      <c r="E13" s="163" t="s">
        <v>334</v>
      </c>
      <c r="F13" s="164" t="s">
        <v>335</v>
      </c>
      <c r="G13" s="165" t="n">
        <v>25695</v>
      </c>
      <c r="H13" s="164"/>
      <c r="I13" s="164"/>
      <c r="J13" s="164"/>
      <c r="K13" s="164"/>
      <c r="L13" s="164" t="s">
        <v>336</v>
      </c>
    </row>
    <row r="14" customFormat="false" ht="112.5" hidden="false" customHeight="true" outlineLevel="0" collapsed="false">
      <c r="A14" s="95" t="s">
        <v>337</v>
      </c>
      <c r="B14" s="99" t="s">
        <v>170</v>
      </c>
      <c r="C14" s="166" t="s">
        <v>338</v>
      </c>
      <c r="D14" s="65" t="s">
        <v>339</v>
      </c>
      <c r="E14" s="32" t="s">
        <v>334</v>
      </c>
      <c r="F14" s="65" t="s">
        <v>340</v>
      </c>
      <c r="G14" s="167" t="n">
        <v>1263</v>
      </c>
      <c r="H14" s="167" t="n">
        <v>1465</v>
      </c>
      <c r="I14" s="167" t="n">
        <v>1223</v>
      </c>
      <c r="J14" s="167" t="n">
        <v>849</v>
      </c>
      <c r="K14" s="32" t="str">
        <f aca="false">IF(COUNT(G14:J14)=4,"Lengkap",COUNT(G14:J14)&amp;"/4 negeri")</f>
        <v>Lengkap</v>
      </c>
      <c r="L14" s="168"/>
    </row>
    <row r="15" customFormat="false" ht="112.5" hidden="false" customHeight="true" outlineLevel="0" collapsed="false">
      <c r="A15" s="95" t="s">
        <v>341</v>
      </c>
      <c r="B15" s="99" t="s">
        <v>171</v>
      </c>
      <c r="C15" s="166" t="s">
        <v>82</v>
      </c>
      <c r="D15" s="65" t="s">
        <v>333</v>
      </c>
      <c r="E15" s="32" t="s">
        <v>334</v>
      </c>
      <c r="F15" s="65" t="s">
        <v>335</v>
      </c>
      <c r="G15" s="167" t="n">
        <v>16243</v>
      </c>
      <c r="H15" s="167" t="n">
        <v>26211</v>
      </c>
      <c r="I15" s="167" t="n">
        <v>23984</v>
      </c>
      <c r="J15" s="167" t="n">
        <v>15211</v>
      </c>
      <c r="K15" s="32" t="str">
        <f aca="false">IF(COUNT(G15:J15)=4,"Lengkap",COUNT(G15:J15)&amp;"/4 negeri")</f>
        <v>Lengkap</v>
      </c>
      <c r="L15" s="168"/>
    </row>
    <row r="16" customFormat="false" ht="112.5" hidden="false" customHeight="true" outlineLevel="0" collapsed="false">
      <c r="A16" s="95" t="s">
        <v>342</v>
      </c>
      <c r="B16" s="99" t="s">
        <v>172</v>
      </c>
      <c r="C16" s="166" t="s">
        <v>85</v>
      </c>
      <c r="D16" s="65" t="s">
        <v>343</v>
      </c>
      <c r="E16" s="32" t="s">
        <v>334</v>
      </c>
      <c r="F16" s="65" t="s">
        <v>335</v>
      </c>
      <c r="G16" s="167" t="n">
        <v>1209</v>
      </c>
      <c r="H16" s="167" t="n">
        <v>1397</v>
      </c>
      <c r="I16" s="167" t="n">
        <v>1104</v>
      </c>
      <c r="J16" s="167" t="n">
        <v>878</v>
      </c>
      <c r="K16" s="32" t="str">
        <f aca="false">IF(COUNT(G16:J16)=4,"Lengkap",COUNT(G16:J16)&amp;"/4 negeri")</f>
        <v>Lengkap</v>
      </c>
      <c r="L16" s="168"/>
    </row>
    <row r="17" customFormat="false" ht="112.5" hidden="false" customHeight="true" outlineLevel="0" collapsed="false">
      <c r="A17" s="90" t="s">
        <v>344</v>
      </c>
      <c r="B17" s="107" t="s">
        <v>175</v>
      </c>
      <c r="C17" s="169" t="s">
        <v>345</v>
      </c>
      <c r="D17" s="65" t="s">
        <v>346</v>
      </c>
      <c r="E17" s="32" t="s">
        <v>347</v>
      </c>
      <c r="F17" s="65" t="s">
        <v>348</v>
      </c>
      <c r="G17" s="167" t="n">
        <v>125</v>
      </c>
      <c r="H17" s="167" t="n">
        <v>230</v>
      </c>
      <c r="I17" s="167" t="n">
        <v>278</v>
      </c>
      <c r="J17" s="167" t="n">
        <v>159</v>
      </c>
      <c r="K17" s="32" t="str">
        <f aca="false">IF(COUNT(G17:J17)=4,"Lengkap",COUNT(G17:J17)&amp;"/4 negeri")</f>
        <v>Lengkap</v>
      </c>
      <c r="L17" s="170" t="s">
        <v>349</v>
      </c>
    </row>
    <row r="18" customFormat="false" ht="112.5" hidden="false" customHeight="true" outlineLevel="0" collapsed="false">
      <c r="A18" s="89" t="s">
        <v>350</v>
      </c>
      <c r="B18" s="110" t="s">
        <v>180</v>
      </c>
      <c r="C18" s="171" t="s">
        <v>351</v>
      </c>
      <c r="D18" s="65" t="s">
        <v>352</v>
      </c>
      <c r="E18" s="32" t="s">
        <v>347</v>
      </c>
      <c r="F18" s="65" t="s">
        <v>348</v>
      </c>
      <c r="G18" s="167" t="n">
        <v>382</v>
      </c>
      <c r="H18" s="167" t="n">
        <v>219</v>
      </c>
      <c r="I18" s="167" t="n">
        <v>217</v>
      </c>
      <c r="J18" s="167" t="n">
        <v>175</v>
      </c>
      <c r="K18" s="32" t="str">
        <f aca="false">IF(COUNT(G18:J18)=4,"Lengkap",COUNT(G18:J18)&amp;"/4 negeri")</f>
        <v>Lengkap</v>
      </c>
      <c r="L18" s="170" t="s">
        <v>349</v>
      </c>
    </row>
    <row r="19" customFormat="false" ht="112.5" hidden="false" customHeight="true" outlineLevel="0" collapsed="false">
      <c r="A19" s="89" t="s">
        <v>353</v>
      </c>
      <c r="B19" s="110" t="s">
        <v>181</v>
      </c>
      <c r="C19" s="171" t="s">
        <v>354</v>
      </c>
      <c r="D19" s="65" t="s">
        <v>355</v>
      </c>
      <c r="E19" s="32" t="s">
        <v>334</v>
      </c>
      <c r="F19" s="65" t="s">
        <v>348</v>
      </c>
      <c r="G19" s="167" t="n">
        <v>20010</v>
      </c>
      <c r="H19" s="167" t="n">
        <v>4313</v>
      </c>
      <c r="I19" s="167" t="n">
        <v>2546</v>
      </c>
      <c r="J19" s="167" t="n">
        <v>8500</v>
      </c>
      <c r="K19" s="32" t="str">
        <f aca="false">IF(COUNT(G19:J19)=4,"Lengkap",COUNT(G19:J19)&amp;"/4 negeri")</f>
        <v>Lengkap</v>
      </c>
      <c r="L19" s="170" t="s">
        <v>349</v>
      </c>
    </row>
    <row r="20" customFormat="false" ht="112.5" hidden="false" customHeight="true" outlineLevel="0" collapsed="false">
      <c r="A20" s="93" t="s">
        <v>356</v>
      </c>
      <c r="B20" s="113" t="s">
        <v>182</v>
      </c>
      <c r="C20" s="172" t="s">
        <v>357</v>
      </c>
      <c r="D20" s="65" t="s">
        <v>358</v>
      </c>
      <c r="E20" s="32" t="s">
        <v>359</v>
      </c>
      <c r="F20" s="65" t="s">
        <v>360</v>
      </c>
      <c r="G20" s="167" t="n">
        <v>28630</v>
      </c>
      <c r="H20" s="167" t="n">
        <v>36669</v>
      </c>
      <c r="I20" s="167"/>
      <c r="J20" s="167" t="n">
        <v>30408</v>
      </c>
      <c r="K20" s="32" t="str">
        <f aca="false">IF(COUNT(G20:J20)=4,"Lengkap",COUNT(G20:J20)&amp;"/4 negeri")</f>
        <v>3/4 negeri</v>
      </c>
      <c r="L20" s="170" t="s">
        <v>361</v>
      </c>
    </row>
    <row r="21" customFormat="false" ht="112.5" hidden="false" customHeight="true" outlineLevel="0" collapsed="false">
      <c r="A21" s="93" t="s">
        <v>362</v>
      </c>
      <c r="B21" s="113" t="s">
        <v>182</v>
      </c>
      <c r="C21" s="173" t="s">
        <v>363</v>
      </c>
      <c r="D21" s="65" t="s">
        <v>364</v>
      </c>
      <c r="E21" s="32" t="s">
        <v>365</v>
      </c>
      <c r="F21" s="65" t="s">
        <v>360</v>
      </c>
      <c r="G21" s="167" t="n">
        <v>14113600.64</v>
      </c>
      <c r="H21" s="167" t="n">
        <v>14947793.37</v>
      </c>
      <c r="I21" s="167"/>
      <c r="J21" s="167" t="n">
        <v>13265277.43</v>
      </c>
      <c r="K21" s="32" t="str">
        <f aca="false">IF(COUNT(G21:J21)=4,"Lengkap",COUNT(G21:J21)&amp;"/4 negeri")</f>
        <v>3/4 negeri</v>
      </c>
      <c r="L21" s="170" t="s">
        <v>366</v>
      </c>
    </row>
    <row r="22" customFormat="false" ht="112.5" hidden="false" customHeight="true" outlineLevel="0" collapsed="false">
      <c r="A22" s="93" t="s">
        <v>367</v>
      </c>
      <c r="B22" s="113" t="s">
        <v>183</v>
      </c>
      <c r="C22" s="172" t="s">
        <v>368</v>
      </c>
      <c r="D22" s="65" t="s">
        <v>369</v>
      </c>
      <c r="E22" s="32" t="s">
        <v>370</v>
      </c>
      <c r="F22" s="65" t="s">
        <v>360</v>
      </c>
      <c r="G22" s="167"/>
      <c r="H22" s="167" t="n">
        <v>1022</v>
      </c>
      <c r="I22" s="167" t="n">
        <v>893</v>
      </c>
      <c r="J22" s="167" t="n">
        <v>367</v>
      </c>
      <c r="K22" s="32" t="str">
        <f aca="false">IF(COUNT(G22:J22)=4,"Lengkap",COUNT(G22:J22)&amp;"/4 negeri")</f>
        <v>3/4 negeri</v>
      </c>
      <c r="L22" s="170" t="s">
        <v>371</v>
      </c>
    </row>
    <row r="23" customFormat="false" ht="112.5" hidden="false" customHeight="true" outlineLevel="0" collapsed="false">
      <c r="A23" s="93" t="s">
        <v>372</v>
      </c>
      <c r="B23" s="113" t="s">
        <v>184</v>
      </c>
      <c r="C23" s="172" t="s">
        <v>373</v>
      </c>
      <c r="D23" s="65" t="s">
        <v>374</v>
      </c>
      <c r="E23" s="32" t="s">
        <v>365</v>
      </c>
      <c r="F23" s="65" t="s">
        <v>375</v>
      </c>
      <c r="G23" s="167" t="n">
        <v>6896060.15</v>
      </c>
      <c r="H23" s="167" t="n">
        <v>76816481.61</v>
      </c>
      <c r="I23" s="167" t="n">
        <v>101223814</v>
      </c>
      <c r="J23" s="167" t="n">
        <v>87049719</v>
      </c>
      <c r="K23" s="32" t="str">
        <f aca="false">IF(COUNT(G23:J23)=4,"Lengkap",COUNT(G23:J23)&amp;"/4 negeri")</f>
        <v>Lengkap</v>
      </c>
      <c r="L23" s="170" t="s">
        <v>376</v>
      </c>
    </row>
    <row r="24" customFormat="false" ht="112.5" hidden="false" customHeight="true" outlineLevel="0" collapsed="false">
      <c r="A24" s="93" t="s">
        <v>377</v>
      </c>
      <c r="B24" s="113" t="s">
        <v>185</v>
      </c>
      <c r="C24" s="172" t="s">
        <v>378</v>
      </c>
      <c r="D24" s="65" t="s">
        <v>379</v>
      </c>
      <c r="E24" s="32" t="s">
        <v>365</v>
      </c>
      <c r="F24" s="65" t="s">
        <v>375</v>
      </c>
      <c r="G24" s="167" t="n">
        <v>8351734.15</v>
      </c>
      <c r="H24" s="167" t="n">
        <v>7031639</v>
      </c>
      <c r="I24" s="167" t="n">
        <v>3911500</v>
      </c>
      <c r="J24" s="167" t="n">
        <v>3038000</v>
      </c>
      <c r="K24" s="32" t="str">
        <f aca="false">IF(COUNT(G24:J24)=4,"Lengkap",COUNT(G24:J24)&amp;"/4 negeri")</f>
        <v>Lengkap</v>
      </c>
      <c r="L24" s="170" t="s">
        <v>380</v>
      </c>
    </row>
    <row r="25" customFormat="false" ht="112.5" hidden="false" customHeight="true" outlineLevel="0" collapsed="false">
      <c r="A25" s="93" t="s">
        <v>381</v>
      </c>
      <c r="B25" s="113" t="s">
        <v>186</v>
      </c>
      <c r="C25" s="172" t="s">
        <v>382</v>
      </c>
      <c r="D25" s="65" t="s">
        <v>383</v>
      </c>
      <c r="E25" s="32" t="s">
        <v>347</v>
      </c>
      <c r="F25" s="65" t="s">
        <v>348</v>
      </c>
      <c r="G25" s="167" t="n">
        <v>15000</v>
      </c>
      <c r="H25" s="167" t="n">
        <v>3997</v>
      </c>
      <c r="I25" s="167" t="n">
        <v>4825</v>
      </c>
      <c r="J25" s="167" t="n">
        <v>7500</v>
      </c>
      <c r="K25" s="32" t="str">
        <f aca="false">IF(COUNT(G25:J25)=4,"Lengkap",COUNT(G25:J25)&amp;"/4 negeri")</f>
        <v>Lengkap</v>
      </c>
      <c r="L25" s="170" t="s">
        <v>384</v>
      </c>
    </row>
    <row r="26" customFormat="false" ht="112.5" hidden="false" customHeight="true" outlineLevel="0" collapsed="false">
      <c r="A26" s="93" t="s">
        <v>385</v>
      </c>
      <c r="B26" s="113" t="s">
        <v>186</v>
      </c>
      <c r="C26" s="173" t="s">
        <v>386</v>
      </c>
      <c r="D26" s="65" t="s">
        <v>387</v>
      </c>
      <c r="E26" s="32" t="s">
        <v>365</v>
      </c>
      <c r="F26" s="65" t="s">
        <v>348</v>
      </c>
      <c r="G26" s="167"/>
      <c r="H26" s="167" t="n">
        <v>18764492.38</v>
      </c>
      <c r="I26" s="167"/>
      <c r="J26" s="167"/>
      <c r="K26" s="32" t="str">
        <f aca="false">IF(COUNT(G26:J26)=4,"Lengkap",COUNT(G26:J26)&amp;"/4 negeri")</f>
        <v>1/4 negeri</v>
      </c>
      <c r="L26" s="168"/>
    </row>
    <row r="27" customFormat="false" ht="112.5" hidden="false" customHeight="true" outlineLevel="0" collapsed="false">
      <c r="A27" s="93" t="s">
        <v>388</v>
      </c>
      <c r="B27" s="113" t="s">
        <v>187</v>
      </c>
      <c r="C27" s="172" t="s">
        <v>130</v>
      </c>
      <c r="D27" s="65" t="s">
        <v>389</v>
      </c>
      <c r="E27" s="32" t="s">
        <v>347</v>
      </c>
      <c r="F27" s="65" t="s">
        <v>390</v>
      </c>
      <c r="G27" s="167" t="n">
        <v>507</v>
      </c>
      <c r="H27" s="167" t="n">
        <v>204</v>
      </c>
      <c r="I27" s="167" t="n">
        <v>46</v>
      </c>
      <c r="J27" s="167" t="n">
        <v>450</v>
      </c>
      <c r="K27" s="32" t="str">
        <f aca="false">IF(COUNT(G27:J27)=4,"Lengkap",COUNT(G27:J27)&amp;"/4 negeri")</f>
        <v>Lengkap</v>
      </c>
      <c r="L27" s="170" t="s">
        <v>391</v>
      </c>
    </row>
    <row r="28" customFormat="false" ht="112.5" hidden="false" customHeight="true" outlineLevel="0" collapsed="false">
      <c r="A28" s="93" t="s">
        <v>392</v>
      </c>
      <c r="B28" s="113" t="s">
        <v>188</v>
      </c>
      <c r="C28" s="172" t="s">
        <v>393</v>
      </c>
      <c r="D28" s="65" t="s">
        <v>394</v>
      </c>
      <c r="E28" s="32" t="s">
        <v>334</v>
      </c>
      <c r="F28" s="65" t="s">
        <v>340</v>
      </c>
      <c r="G28" s="167"/>
      <c r="H28" s="167"/>
      <c r="I28" s="167"/>
      <c r="J28" s="167"/>
      <c r="K28" s="32" t="str">
        <f aca="false">IF(COUNT(G28:J28)=4,"Lengkap",COUNT(G28:J28)&amp;"/4 negeri")</f>
        <v>0/4 negeri</v>
      </c>
      <c r="L28" s="168"/>
    </row>
    <row r="30" customFormat="false" ht="19.5" hidden="false" customHeight="true" outlineLevel="0" collapsed="false">
      <c r="A30" s="151" t="s">
        <v>395</v>
      </c>
      <c r="B30" s="151"/>
      <c r="C30" s="151"/>
      <c r="D30" s="151"/>
      <c r="E30" s="151"/>
      <c r="F30" s="151"/>
      <c r="G30" s="151"/>
      <c r="H30" s="151"/>
      <c r="I30" s="151"/>
      <c r="J30" s="151"/>
      <c r="K30" s="151"/>
      <c r="L30" s="151"/>
    </row>
    <row r="31" customFormat="false" ht="29.25" hidden="false" customHeight="true" outlineLevel="0" collapsed="false">
      <c r="A31" s="24" t="s">
        <v>58</v>
      </c>
      <c r="B31" s="24" t="s">
        <v>396</v>
      </c>
      <c r="C31" s="24"/>
      <c r="D31" s="24"/>
      <c r="E31" s="24"/>
      <c r="F31" s="24"/>
      <c r="G31" s="24" t="s">
        <v>105</v>
      </c>
      <c r="H31" s="24" t="s">
        <v>397</v>
      </c>
      <c r="I31" s="24" t="s">
        <v>398</v>
      </c>
      <c r="J31" s="24"/>
      <c r="K31" s="24"/>
      <c r="L31" s="24"/>
    </row>
    <row r="32" customFormat="false" ht="26.25" hidden="false" customHeight="true" outlineLevel="0" collapsed="false">
      <c r="A32" s="89" t="n">
        <v>1</v>
      </c>
      <c r="B32" s="174" t="s">
        <v>399</v>
      </c>
      <c r="C32" s="174"/>
      <c r="D32" s="174"/>
      <c r="E32" s="174"/>
      <c r="F32" s="174"/>
      <c r="G32" s="167"/>
      <c r="H32" s="167"/>
      <c r="I32" s="175"/>
      <c r="J32" s="175"/>
      <c r="K32" s="175"/>
      <c r="L32" s="175"/>
    </row>
    <row r="33" customFormat="false" ht="26.25" hidden="false" customHeight="true" outlineLevel="0" collapsed="false">
      <c r="A33" s="89" t="n">
        <v>2</v>
      </c>
      <c r="B33" s="174" t="s">
        <v>400</v>
      </c>
      <c r="C33" s="174"/>
      <c r="D33" s="174"/>
      <c r="E33" s="174"/>
      <c r="F33" s="174"/>
      <c r="G33" s="167"/>
      <c r="H33" s="167"/>
      <c r="I33" s="175"/>
      <c r="J33" s="175"/>
      <c r="K33" s="175"/>
      <c r="L33" s="175"/>
    </row>
    <row r="34" customFormat="false" ht="26.25" hidden="false" customHeight="true" outlineLevel="0" collapsed="false">
      <c r="A34" s="89" t="n">
        <v>3</v>
      </c>
      <c r="B34" s="174" t="s">
        <v>401</v>
      </c>
      <c r="C34" s="174"/>
      <c r="D34" s="174"/>
      <c r="E34" s="174"/>
      <c r="F34" s="174"/>
      <c r="G34" s="167"/>
      <c r="H34" s="167"/>
      <c r="I34" s="175"/>
      <c r="J34" s="175"/>
      <c r="K34" s="175"/>
      <c r="L34" s="175"/>
    </row>
    <row r="35" customFormat="false" ht="26.25" hidden="false" customHeight="true" outlineLevel="0" collapsed="false">
      <c r="A35" s="89" t="n">
        <v>4</v>
      </c>
      <c r="B35" s="174" t="s">
        <v>402</v>
      </c>
      <c r="C35" s="174"/>
      <c r="D35" s="174"/>
      <c r="E35" s="174"/>
      <c r="F35" s="174"/>
      <c r="G35" s="167"/>
      <c r="H35" s="167"/>
      <c r="I35" s="175"/>
      <c r="J35" s="175"/>
      <c r="K35" s="175"/>
      <c r="L35" s="175"/>
    </row>
    <row r="36" customFormat="false" ht="26.25" hidden="false" customHeight="true" outlineLevel="0" collapsed="false">
      <c r="A36" s="89" t="n">
        <v>5</v>
      </c>
      <c r="B36" s="174" t="s">
        <v>403</v>
      </c>
      <c r="C36" s="174"/>
      <c r="D36" s="174"/>
      <c r="E36" s="174"/>
      <c r="F36" s="174"/>
      <c r="G36" s="167"/>
      <c r="H36" s="176" t="s">
        <v>404</v>
      </c>
      <c r="I36" s="10" t="s">
        <v>405</v>
      </c>
      <c r="J36" s="10"/>
      <c r="K36" s="10"/>
      <c r="L36" s="10"/>
    </row>
    <row r="37" customFormat="false" ht="26.25" hidden="false" customHeight="true" outlineLevel="0" collapsed="false">
      <c r="A37" s="80" t="s">
        <v>330</v>
      </c>
      <c r="B37" s="80"/>
      <c r="C37" s="80"/>
      <c r="D37" s="80"/>
      <c r="E37" s="80"/>
      <c r="F37" s="80"/>
      <c r="G37" s="32" t="str">
        <f aca="false">IF(COUNT(G32:G36)=5,"Lengkap",COUNT(G32:G36)&amp;"/5 daerah")</f>
        <v>0/5 daerah</v>
      </c>
      <c r="H37" s="32" t="str">
        <f aca="false">IF(COUNT(H32:H35)=4,"Lengkap",COUNT(H32:H35)&amp;"/4 daerah")</f>
        <v>0/4 daerah</v>
      </c>
    </row>
    <row r="39" customFormat="false" ht="19.5" hidden="false" customHeight="true" outlineLevel="0" collapsed="false">
      <c r="A39" s="149" t="s">
        <v>406</v>
      </c>
      <c r="B39" s="149"/>
      <c r="C39" s="149"/>
      <c r="D39" s="149"/>
      <c r="E39" s="149"/>
      <c r="F39" s="149"/>
      <c r="G39" s="149"/>
      <c r="H39" s="149"/>
      <c r="I39" s="149"/>
      <c r="J39" s="149"/>
      <c r="K39" s="149"/>
      <c r="L39" s="149"/>
    </row>
    <row r="40" customFormat="false" ht="18" hidden="false" customHeight="true" outlineLevel="0" collapsed="false">
      <c r="A40" s="177" t="s">
        <v>407</v>
      </c>
      <c r="B40" s="177"/>
      <c r="C40" s="177"/>
      <c r="D40" s="178" t="str">
        <f aca="false">COUNTIF(K14:K28,"Lengkap")&amp;" daripada "&amp;ROWS(K14:K28)&amp;" item"</f>
        <v>10 daripada 15 item</v>
      </c>
      <c r="E40" s="178"/>
      <c r="F40" s="178"/>
      <c r="G40" s="178"/>
      <c r="H40" s="178"/>
      <c r="I40" s="178"/>
      <c r="J40" s="178"/>
      <c r="K40" s="178"/>
      <c r="L40" s="178"/>
    </row>
    <row r="41" customFormat="false" ht="18" hidden="false" customHeight="true" outlineLevel="0" collapsed="false">
      <c r="A41" s="177" t="s">
        <v>408</v>
      </c>
      <c r="B41" s="177"/>
      <c r="C41" s="177"/>
      <c r="D41" s="179" t="str">
        <f aca="false">COUNTIF('Skor Senario A'!H6:H28,"YA")&amp;" daripada 23 sub-kriteria"</f>
        <v>17 daripada 23 sub-kriteria</v>
      </c>
      <c r="E41" s="179"/>
      <c r="F41" s="179"/>
      <c r="G41" s="179"/>
      <c r="H41" s="179"/>
      <c r="I41" s="179"/>
      <c r="J41" s="179"/>
      <c r="K41" s="179"/>
      <c r="L41" s="179"/>
    </row>
    <row r="42" customFormat="false" ht="18" hidden="false" customHeight="true" outlineLevel="0" collapsed="false">
      <c r="A42" s="180" t="s">
        <v>409</v>
      </c>
      <c r="B42" s="180"/>
      <c r="C42" s="180"/>
      <c r="D42" s="48" t="s">
        <v>410</v>
      </c>
      <c r="E42" s="48"/>
      <c r="F42" s="48"/>
      <c r="G42" s="48"/>
      <c r="H42" s="48"/>
      <c r="I42" s="48"/>
      <c r="J42" s="48"/>
      <c r="K42" s="48"/>
      <c r="L42" s="48"/>
    </row>
  </sheetData>
  <mergeCells count="30">
    <mergeCell ref="A1:L1"/>
    <mergeCell ref="A2:L2"/>
    <mergeCell ref="A4:L4"/>
    <mergeCell ref="B5:L5"/>
    <mergeCell ref="B6:L6"/>
    <mergeCell ref="B7:L7"/>
    <mergeCell ref="B8:L8"/>
    <mergeCell ref="B9:L9"/>
    <mergeCell ref="A11:L11"/>
    <mergeCell ref="A30:L30"/>
    <mergeCell ref="B31:F31"/>
    <mergeCell ref="I31:L31"/>
    <mergeCell ref="B32:F32"/>
    <mergeCell ref="I32:L32"/>
    <mergeCell ref="B33:F33"/>
    <mergeCell ref="I33:L33"/>
    <mergeCell ref="B34:F34"/>
    <mergeCell ref="I34:L34"/>
    <mergeCell ref="B35:F35"/>
    <mergeCell ref="I35:L35"/>
    <mergeCell ref="B36:F36"/>
    <mergeCell ref="I36:L36"/>
    <mergeCell ref="A37:F37"/>
    <mergeCell ref="A39:L39"/>
    <mergeCell ref="A40:C40"/>
    <mergeCell ref="D40:L40"/>
    <mergeCell ref="A41:C41"/>
    <mergeCell ref="D41:L41"/>
    <mergeCell ref="A42:C42"/>
    <mergeCell ref="D42:L42"/>
  </mergeCells>
  <conditionalFormatting sqref="K14:K28">
    <cfRule type="cellIs" priority="2" operator="equal" aboveAverage="0" equalAverage="0" bottom="0" percent="0" rank="0" text="" dxfId="2">
      <formula>"Lengkap"</formula>
    </cfRule>
  </conditionalFormatting>
  <dataValidations count="1">
    <dataValidation allowBlank="true" error="Masukkan nombor sahaja (tanpa koma, teks atau RM)." errorStyle="stop" errorTitle="Nombor sahaja" operator="greaterThanOrEqual" showDropDown="false" showErrorMessage="true" showInputMessage="false" sqref="G14:J28 G32:H35 G36" type="decimal">
      <formula1>0</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E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62"/>
    <col collapsed="false" customWidth="true" hidden="false" outlineLevel="0" max="4" min="4" style="0" width="22"/>
    <col collapsed="false" customWidth="true" hidden="false" outlineLevel="0" max="5" min="5" style="0" width="36"/>
  </cols>
  <sheetData>
    <row r="1" customFormat="false" ht="30" hidden="false" customHeight="true" outlineLevel="0" collapsed="false">
      <c r="A1" s="1" t="s">
        <v>411</v>
      </c>
      <c r="B1" s="1"/>
      <c r="C1" s="1"/>
      <c r="D1" s="1"/>
      <c r="E1" s="1"/>
    </row>
    <row r="2" customFormat="false" ht="18" hidden="false" customHeight="true" outlineLevel="0" collapsed="false">
      <c r="A2" s="2" t="s">
        <v>412</v>
      </c>
      <c r="B2" s="2"/>
      <c r="C2" s="2"/>
      <c r="D2" s="2"/>
      <c r="E2" s="2"/>
    </row>
    <row r="4" customFormat="false" ht="19.5" hidden="false" customHeight="true" outlineLevel="0" collapsed="false">
      <c r="A4" s="181" t="s">
        <v>413</v>
      </c>
      <c r="B4" s="181"/>
      <c r="C4" s="181"/>
      <c r="D4" s="181"/>
      <c r="E4" s="181"/>
    </row>
    <row r="5" customFormat="false" ht="31.5" hidden="false" customHeight="true" outlineLevel="0" collapsed="false">
      <c r="A5" s="130" t="s">
        <v>414</v>
      </c>
      <c r="B5" s="130"/>
      <c r="C5" s="130"/>
      <c r="D5" s="130"/>
      <c r="E5" s="130"/>
    </row>
    <row r="7" customFormat="false" ht="19.5" hidden="false" customHeight="true" outlineLevel="0" collapsed="false">
      <c r="A7" s="182" t="s">
        <v>415</v>
      </c>
      <c r="B7" s="182"/>
      <c r="C7" s="182"/>
      <c r="D7" s="182"/>
      <c r="E7" s="182"/>
    </row>
    <row r="8" customFormat="false" ht="17.25" hidden="false" customHeight="true" outlineLevel="0" collapsed="false">
      <c r="A8" s="183" t="s">
        <v>416</v>
      </c>
      <c r="B8" s="183"/>
      <c r="C8" s="183"/>
      <c r="D8" s="183"/>
      <c r="E8" s="183"/>
    </row>
    <row r="9" customFormat="false" ht="29.25" hidden="false" customHeight="true" outlineLevel="0" collapsed="false">
      <c r="A9" s="184" t="s">
        <v>417</v>
      </c>
      <c r="B9" s="184" t="s">
        <v>418</v>
      </c>
      <c r="C9" s="184" t="s">
        <v>62</v>
      </c>
      <c r="D9" s="184"/>
      <c r="E9" s="184"/>
    </row>
    <row r="10" customFormat="false" ht="45" hidden="false" customHeight="true" outlineLevel="0" collapsed="false">
      <c r="A10" s="95" t="n">
        <v>1</v>
      </c>
      <c r="B10" s="185" t="s">
        <v>419</v>
      </c>
      <c r="C10" s="186" t="s">
        <v>420</v>
      </c>
      <c r="D10" s="186"/>
      <c r="E10" s="186"/>
    </row>
    <row r="11" customFormat="false" ht="45" hidden="false" customHeight="true" outlineLevel="0" collapsed="false">
      <c r="A11" s="95" t="n">
        <v>2</v>
      </c>
      <c r="B11" s="185" t="s">
        <v>421</v>
      </c>
      <c r="C11" s="186" t="s">
        <v>422</v>
      </c>
      <c r="D11" s="186"/>
      <c r="E11" s="186"/>
    </row>
    <row r="12" customFormat="false" ht="45" hidden="false" customHeight="true" outlineLevel="0" collapsed="false">
      <c r="A12" s="95" t="n">
        <v>3</v>
      </c>
      <c r="B12" s="185" t="s">
        <v>423</v>
      </c>
      <c r="C12" s="186" t="s">
        <v>424</v>
      </c>
      <c r="D12" s="186"/>
      <c r="E12" s="186"/>
    </row>
    <row r="13" customFormat="false" ht="45" hidden="false" customHeight="true" outlineLevel="0" collapsed="false">
      <c r="A13" s="90" t="n">
        <v>4</v>
      </c>
      <c r="B13" s="187" t="s">
        <v>425</v>
      </c>
      <c r="C13" s="178" t="s">
        <v>426</v>
      </c>
      <c r="D13" s="178"/>
      <c r="E13" s="178"/>
    </row>
    <row r="14" customFormat="false" ht="45" hidden="false" customHeight="true" outlineLevel="0" collapsed="false">
      <c r="A14" s="90" t="n">
        <v>5</v>
      </c>
      <c r="B14" s="187" t="s">
        <v>427</v>
      </c>
      <c r="C14" s="178" t="s">
        <v>428</v>
      </c>
      <c r="D14" s="178"/>
      <c r="E14" s="178"/>
    </row>
    <row r="15" customFormat="false" ht="45" hidden="false" customHeight="true" outlineLevel="0" collapsed="false">
      <c r="A15" s="90" t="n">
        <v>6</v>
      </c>
      <c r="B15" s="187" t="s">
        <v>429</v>
      </c>
      <c r="C15" s="178" t="s">
        <v>430</v>
      </c>
      <c r="D15" s="178"/>
      <c r="E15" s="178"/>
    </row>
    <row r="16" customFormat="false" ht="45" hidden="false" customHeight="true" outlineLevel="0" collapsed="false">
      <c r="A16" s="87" t="n">
        <v>7</v>
      </c>
      <c r="B16" s="188" t="s">
        <v>431</v>
      </c>
      <c r="C16" s="189" t="s">
        <v>432</v>
      </c>
      <c r="D16" s="189"/>
      <c r="E16" s="189"/>
    </row>
    <row r="17" customFormat="false" ht="45" hidden="false" customHeight="true" outlineLevel="0" collapsed="false">
      <c r="A17" s="89" t="n">
        <v>8</v>
      </c>
      <c r="B17" s="190" t="s">
        <v>28</v>
      </c>
      <c r="C17" s="191" t="s">
        <v>433</v>
      </c>
      <c r="D17" s="191"/>
      <c r="E17" s="191"/>
    </row>
    <row r="18" customFormat="false" ht="45" hidden="false" customHeight="true" outlineLevel="0" collapsed="false">
      <c r="A18" s="89" t="n">
        <v>9</v>
      </c>
      <c r="B18" s="190" t="s">
        <v>26</v>
      </c>
      <c r="C18" s="191" t="s">
        <v>434</v>
      </c>
      <c r="D18" s="191"/>
      <c r="E18" s="191"/>
    </row>
    <row r="19" customFormat="false" ht="45" hidden="false" customHeight="true" outlineLevel="0" collapsed="false">
      <c r="A19" s="93" t="n">
        <v>10</v>
      </c>
      <c r="B19" s="192" t="s">
        <v>435</v>
      </c>
      <c r="C19" s="193" t="s">
        <v>436</v>
      </c>
      <c r="D19" s="193"/>
      <c r="E19" s="193"/>
    </row>
    <row r="21" customFormat="false" ht="19.5" hidden="false" customHeight="true" outlineLevel="0" collapsed="false">
      <c r="A21" s="194" t="s">
        <v>437</v>
      </c>
      <c r="B21" s="194"/>
      <c r="C21" s="194"/>
      <c r="D21" s="194"/>
      <c r="E21" s="194"/>
    </row>
    <row r="22" customFormat="false" ht="17.25" hidden="false" customHeight="true" outlineLevel="0" collapsed="false">
      <c r="A22" s="184" t="s">
        <v>58</v>
      </c>
      <c r="B22" s="184" t="s">
        <v>438</v>
      </c>
      <c r="C22" s="184" t="s">
        <v>439</v>
      </c>
      <c r="D22" s="184"/>
      <c r="E22" s="184" t="s">
        <v>440</v>
      </c>
    </row>
    <row r="23" customFormat="false" ht="31.5" hidden="false" customHeight="true" outlineLevel="0" collapsed="false">
      <c r="A23" s="93" t="n">
        <v>1</v>
      </c>
      <c r="B23" s="192" t="s">
        <v>441</v>
      </c>
      <c r="C23" s="193" t="s">
        <v>442</v>
      </c>
      <c r="D23" s="193"/>
      <c r="E23" s="6" t="s">
        <v>5</v>
      </c>
    </row>
    <row r="24" customFormat="false" ht="31.5" hidden="false" customHeight="true" outlineLevel="0" collapsed="false">
      <c r="A24" s="89" t="n">
        <v>2</v>
      </c>
      <c r="B24" s="190" t="s">
        <v>443</v>
      </c>
      <c r="C24" s="191" t="s">
        <v>444</v>
      </c>
      <c r="D24" s="191"/>
      <c r="E24" s="6" t="s">
        <v>445</v>
      </c>
    </row>
    <row r="25" customFormat="false" ht="31.5" hidden="false" customHeight="true" outlineLevel="0" collapsed="false">
      <c r="A25" s="195" t="n">
        <v>3</v>
      </c>
      <c r="B25" s="196" t="s">
        <v>446</v>
      </c>
      <c r="C25" s="197" t="s">
        <v>447</v>
      </c>
      <c r="D25" s="197"/>
      <c r="E25" s="6" t="s">
        <v>448</v>
      </c>
    </row>
    <row r="26" customFormat="false" ht="31.5" hidden="false" customHeight="true" outlineLevel="0" collapsed="false">
      <c r="A26" s="145" t="n">
        <v>4</v>
      </c>
      <c r="B26" s="198" t="s">
        <v>449</v>
      </c>
      <c r="C26" s="199" t="s">
        <v>450</v>
      </c>
      <c r="D26" s="199"/>
      <c r="E26" s="6" t="s">
        <v>451</v>
      </c>
    </row>
    <row r="27" customFormat="false" ht="31.5" hidden="false" customHeight="true" outlineLevel="0" collapsed="false">
      <c r="A27" s="87" t="n">
        <v>5</v>
      </c>
      <c r="B27" s="188" t="s">
        <v>452</v>
      </c>
      <c r="C27" s="189" t="s">
        <v>453</v>
      </c>
      <c r="D27" s="189"/>
      <c r="E27" s="6" t="s">
        <v>454</v>
      </c>
    </row>
    <row r="29" customFormat="false" ht="19.5" hidden="false" customHeight="true" outlineLevel="0" collapsed="false">
      <c r="A29" s="200" t="s">
        <v>455</v>
      </c>
      <c r="B29" s="200"/>
      <c r="C29" s="200"/>
      <c r="D29" s="200"/>
      <c r="E29" s="200"/>
    </row>
    <row r="30" customFormat="false" ht="17.25" hidden="false" customHeight="true" outlineLevel="0" collapsed="false">
      <c r="A30" s="183" t="s">
        <v>456</v>
      </c>
      <c r="B30" s="183"/>
      <c r="C30" s="183"/>
      <c r="D30" s="183"/>
      <c r="E30" s="183"/>
    </row>
    <row r="31" customFormat="false" ht="17.25" hidden="false" customHeight="true" outlineLevel="0" collapsed="false">
      <c r="A31" s="184" t="s">
        <v>157</v>
      </c>
      <c r="B31" s="184" t="s">
        <v>457</v>
      </c>
      <c r="C31" s="184" t="s">
        <v>458</v>
      </c>
      <c r="D31" s="184" t="s">
        <v>459</v>
      </c>
      <c r="E31" s="184" t="s">
        <v>460</v>
      </c>
    </row>
    <row r="32" customFormat="false" ht="40.5" hidden="false" customHeight="true" outlineLevel="0" collapsed="false">
      <c r="A32" s="59" t="s">
        <v>461</v>
      </c>
      <c r="B32" s="201" t="s">
        <v>462</v>
      </c>
      <c r="C32" s="199" t="s">
        <v>463</v>
      </c>
      <c r="D32" s="202" t="s">
        <v>464</v>
      </c>
      <c r="E32" s="203" t="s">
        <v>465</v>
      </c>
    </row>
    <row r="33" customFormat="false" ht="40.5" hidden="false" customHeight="true" outlineLevel="0" collapsed="false">
      <c r="A33" s="204" t="s">
        <v>466</v>
      </c>
      <c r="B33" s="205" t="s">
        <v>467</v>
      </c>
      <c r="C33" s="178" t="s">
        <v>468</v>
      </c>
      <c r="D33" s="206" t="s">
        <v>469</v>
      </c>
      <c r="E33" s="207" t="s">
        <v>470</v>
      </c>
    </row>
    <row r="34" customFormat="false" ht="40.5" hidden="false" customHeight="true" outlineLevel="0" collapsed="false">
      <c r="A34" s="204" t="s">
        <v>471</v>
      </c>
      <c r="B34" s="205" t="s">
        <v>472</v>
      </c>
      <c r="C34" s="178" t="s">
        <v>473</v>
      </c>
      <c r="D34" s="206" t="s">
        <v>464</v>
      </c>
      <c r="E34" s="207" t="s">
        <v>173</v>
      </c>
    </row>
    <row r="35" customFormat="false" ht="40.5" hidden="false" customHeight="true" outlineLevel="0" collapsed="false">
      <c r="A35" s="204" t="s">
        <v>474</v>
      </c>
      <c r="B35" s="205" t="s">
        <v>475</v>
      </c>
      <c r="C35" s="178" t="s">
        <v>476</v>
      </c>
      <c r="D35" s="206" t="s">
        <v>464</v>
      </c>
      <c r="E35" s="207" t="s">
        <v>477</v>
      </c>
    </row>
    <row r="36" customFormat="false" ht="40.5" hidden="false" customHeight="true" outlineLevel="0" collapsed="false">
      <c r="A36" s="208" t="s">
        <v>478</v>
      </c>
      <c r="B36" s="209" t="s">
        <v>479</v>
      </c>
      <c r="C36" s="191" t="s">
        <v>480</v>
      </c>
      <c r="D36" s="210" t="s">
        <v>481</v>
      </c>
      <c r="E36" s="211" t="s">
        <v>482</v>
      </c>
    </row>
    <row r="37" customFormat="false" ht="40.5" hidden="false" customHeight="true" outlineLevel="0" collapsed="false">
      <c r="A37" s="208" t="s">
        <v>483</v>
      </c>
      <c r="B37" s="209" t="s">
        <v>484</v>
      </c>
      <c r="C37" s="191" t="s">
        <v>485</v>
      </c>
      <c r="D37" s="210" t="s">
        <v>464</v>
      </c>
      <c r="E37" s="211" t="s">
        <v>188</v>
      </c>
    </row>
    <row r="38" customFormat="false" ht="40.5" hidden="false" customHeight="true" outlineLevel="0" collapsed="false">
      <c r="A38" s="204" t="s">
        <v>486</v>
      </c>
      <c r="B38" s="205" t="s">
        <v>487</v>
      </c>
      <c r="C38" s="178" t="s">
        <v>488</v>
      </c>
      <c r="D38" s="206" t="s">
        <v>489</v>
      </c>
      <c r="E38" s="207" t="s">
        <v>490</v>
      </c>
    </row>
    <row r="39" customFormat="false" ht="40.5" hidden="false" customHeight="true" outlineLevel="0" collapsed="false">
      <c r="A39" s="204" t="s">
        <v>491</v>
      </c>
      <c r="B39" s="205" t="s">
        <v>492</v>
      </c>
      <c r="C39" s="178" t="s">
        <v>493</v>
      </c>
      <c r="D39" s="206" t="s">
        <v>494</v>
      </c>
      <c r="E39" s="207" t="s">
        <v>495</v>
      </c>
    </row>
    <row r="40" customFormat="false" ht="40.5" hidden="false" customHeight="true" outlineLevel="0" collapsed="false">
      <c r="A40" s="208" t="s">
        <v>496</v>
      </c>
      <c r="B40" s="209" t="s">
        <v>497</v>
      </c>
      <c r="C40" s="191" t="s">
        <v>498</v>
      </c>
      <c r="D40" s="210" t="s">
        <v>464</v>
      </c>
      <c r="E40" s="211" t="s">
        <v>431</v>
      </c>
    </row>
    <row r="41" customFormat="false" ht="40.5" hidden="false" customHeight="true" outlineLevel="0" collapsed="false">
      <c r="A41" s="212" t="s">
        <v>499</v>
      </c>
      <c r="B41" s="213" t="s">
        <v>500</v>
      </c>
      <c r="C41" s="193" t="s">
        <v>501</v>
      </c>
      <c r="D41" s="214" t="s">
        <v>502</v>
      </c>
      <c r="E41" s="215" t="s">
        <v>431</v>
      </c>
    </row>
    <row r="43" customFormat="false" ht="19.5" hidden="false" customHeight="true" outlineLevel="0" collapsed="false">
      <c r="A43" s="216" t="s">
        <v>503</v>
      </c>
      <c r="B43" s="216"/>
      <c r="C43" s="216"/>
      <c r="D43" s="216"/>
      <c r="E43" s="216"/>
    </row>
    <row r="44" customFormat="false" ht="17.25" hidden="false" customHeight="true" outlineLevel="0" collapsed="false">
      <c r="A44" s="183" t="s">
        <v>504</v>
      </c>
      <c r="B44" s="183"/>
      <c r="C44" s="183"/>
      <c r="D44" s="183"/>
      <c r="E44" s="183"/>
    </row>
    <row r="45" customFormat="false" ht="17.25" hidden="false" customHeight="true" outlineLevel="0" collapsed="false">
      <c r="A45" s="184" t="s">
        <v>58</v>
      </c>
      <c r="B45" s="184" t="s">
        <v>21</v>
      </c>
      <c r="C45" s="184" t="s">
        <v>398</v>
      </c>
      <c r="D45" s="184"/>
      <c r="E45" s="184"/>
    </row>
    <row r="46" customFormat="false" ht="58.5" hidden="false" customHeight="true" outlineLevel="0" collapsed="false">
      <c r="A46" s="95" t="n">
        <v>1</v>
      </c>
      <c r="B46" s="185" t="s">
        <v>505</v>
      </c>
      <c r="C46" s="186" t="s">
        <v>506</v>
      </c>
      <c r="D46" s="186"/>
      <c r="E46" s="186"/>
    </row>
    <row r="47" customFormat="false" ht="58.5" hidden="false" customHeight="true" outlineLevel="0" collapsed="false">
      <c r="A47" s="93" t="n">
        <v>2</v>
      </c>
      <c r="B47" s="192" t="s">
        <v>507</v>
      </c>
      <c r="C47" s="193" t="s">
        <v>508</v>
      </c>
      <c r="D47" s="193"/>
      <c r="E47" s="193"/>
    </row>
    <row r="48" customFormat="false" ht="58.5" hidden="false" customHeight="true" outlineLevel="0" collapsed="false">
      <c r="A48" s="93" t="n">
        <v>3</v>
      </c>
      <c r="B48" s="192" t="s">
        <v>507</v>
      </c>
      <c r="C48" s="193" t="s">
        <v>509</v>
      </c>
      <c r="D48" s="193"/>
      <c r="E48" s="193"/>
    </row>
    <row r="49" customFormat="false" ht="58.5" hidden="false" customHeight="true" outlineLevel="0" collapsed="false">
      <c r="A49" s="89" t="n">
        <v>4</v>
      </c>
      <c r="B49" s="190" t="s">
        <v>510</v>
      </c>
      <c r="C49" s="191" t="s">
        <v>511</v>
      </c>
      <c r="D49" s="191"/>
      <c r="E49" s="191"/>
    </row>
    <row r="50" customFormat="false" ht="58.5" hidden="false" customHeight="true" outlineLevel="0" collapsed="false">
      <c r="A50" s="95" t="n">
        <v>5</v>
      </c>
      <c r="B50" s="185" t="s">
        <v>505</v>
      </c>
      <c r="C50" s="186" t="s">
        <v>512</v>
      </c>
      <c r="D50" s="186"/>
      <c r="E50" s="186"/>
    </row>
    <row r="51" customFormat="false" ht="58.5" hidden="false" customHeight="true" outlineLevel="0" collapsed="false">
      <c r="A51" s="93" t="n">
        <v>6</v>
      </c>
      <c r="B51" s="192" t="s">
        <v>507</v>
      </c>
      <c r="C51" s="193" t="s">
        <v>513</v>
      </c>
      <c r="D51" s="193"/>
      <c r="E51" s="193"/>
    </row>
    <row r="52" customFormat="false" ht="58.5" hidden="false" customHeight="true" outlineLevel="0" collapsed="false">
      <c r="A52" s="85" t="n">
        <v>7</v>
      </c>
      <c r="B52" s="217" t="s">
        <v>514</v>
      </c>
      <c r="C52" s="218" t="s">
        <v>515</v>
      </c>
      <c r="D52" s="218"/>
      <c r="E52" s="218"/>
    </row>
    <row r="53" customFormat="false" ht="58.5" hidden="false" customHeight="true" outlineLevel="0" collapsed="false">
      <c r="A53" s="93" t="n">
        <v>8</v>
      </c>
      <c r="B53" s="192" t="s">
        <v>507</v>
      </c>
      <c r="C53" s="193" t="s">
        <v>516</v>
      </c>
      <c r="D53" s="193"/>
      <c r="E53" s="193"/>
    </row>
    <row r="54" customFormat="false" ht="58.5" hidden="false" customHeight="true" outlineLevel="0" collapsed="false">
      <c r="A54" s="195" t="n">
        <v>9</v>
      </c>
      <c r="B54" s="196" t="s">
        <v>517</v>
      </c>
      <c r="C54" s="197" t="s">
        <v>518</v>
      </c>
      <c r="D54" s="197"/>
      <c r="E54" s="197"/>
    </row>
    <row r="55" customFormat="false" ht="58.5" hidden="false" customHeight="true" outlineLevel="0" collapsed="false">
      <c r="A55" s="195" t="n">
        <v>10</v>
      </c>
      <c r="B55" s="196" t="s">
        <v>517</v>
      </c>
      <c r="C55" s="197" t="s">
        <v>519</v>
      </c>
      <c r="D55" s="197"/>
      <c r="E55" s="197"/>
    </row>
    <row r="56" customFormat="false" ht="58.5" hidden="false" customHeight="true" outlineLevel="0" collapsed="false">
      <c r="A56" s="90" t="n">
        <v>11</v>
      </c>
      <c r="B56" s="187" t="s">
        <v>295</v>
      </c>
      <c r="C56" s="178" t="s">
        <v>520</v>
      </c>
      <c r="D56" s="178"/>
      <c r="E56" s="178"/>
    </row>
    <row r="57" customFormat="false" ht="58.5" hidden="false" customHeight="true" outlineLevel="0" collapsed="false">
      <c r="A57" s="89" t="n">
        <v>12</v>
      </c>
      <c r="B57" s="190" t="s">
        <v>510</v>
      </c>
      <c r="C57" s="191" t="s">
        <v>521</v>
      </c>
      <c r="D57" s="191"/>
      <c r="E57" s="191"/>
    </row>
    <row r="58" customFormat="false" ht="58.5" hidden="false" customHeight="true" outlineLevel="0" collapsed="false">
      <c r="A58" s="95" t="n">
        <v>13</v>
      </c>
      <c r="B58" s="185" t="s">
        <v>522</v>
      </c>
      <c r="C58" s="186" t="s">
        <v>523</v>
      </c>
      <c r="D58" s="186"/>
      <c r="E58" s="186"/>
    </row>
    <row r="59" customFormat="false" ht="58.5" hidden="false" customHeight="true" outlineLevel="0" collapsed="false">
      <c r="A59" s="93" t="n">
        <v>14</v>
      </c>
      <c r="B59" s="192" t="s">
        <v>507</v>
      </c>
      <c r="C59" s="193" t="s">
        <v>524</v>
      </c>
      <c r="D59" s="193"/>
      <c r="E59" s="193"/>
    </row>
    <row r="60" customFormat="false" ht="58.5" hidden="false" customHeight="true" outlineLevel="0" collapsed="false">
      <c r="A60" s="87" t="n">
        <v>15</v>
      </c>
      <c r="B60" s="188" t="s">
        <v>525</v>
      </c>
      <c r="C60" s="189" t="s">
        <v>526</v>
      </c>
      <c r="D60" s="189"/>
      <c r="E60" s="189"/>
    </row>
    <row r="61" customFormat="false" ht="58.5" hidden="false" customHeight="true" outlineLevel="0" collapsed="false">
      <c r="A61" s="85" t="n">
        <v>16</v>
      </c>
      <c r="B61" s="217" t="s">
        <v>514</v>
      </c>
      <c r="C61" s="218" t="s">
        <v>527</v>
      </c>
      <c r="D61" s="218"/>
      <c r="E61" s="218"/>
    </row>
    <row r="62" customFormat="false" ht="58.5" hidden="false" customHeight="true" outlineLevel="0" collapsed="false">
      <c r="A62" s="195" t="n">
        <v>17</v>
      </c>
      <c r="B62" s="196" t="s">
        <v>517</v>
      </c>
      <c r="C62" s="197" t="s">
        <v>528</v>
      </c>
      <c r="D62" s="197"/>
      <c r="E62" s="197"/>
    </row>
    <row r="63" customFormat="false" ht="58.5" hidden="false" customHeight="true" outlineLevel="0" collapsed="false">
      <c r="A63" s="87" t="n">
        <v>18</v>
      </c>
      <c r="B63" s="188" t="s">
        <v>525</v>
      </c>
      <c r="C63" s="189" t="s">
        <v>529</v>
      </c>
      <c r="D63" s="189"/>
      <c r="E63" s="189"/>
    </row>
    <row r="64" customFormat="false" ht="58.5" hidden="false" customHeight="true" outlineLevel="0" collapsed="false">
      <c r="A64" s="195" t="n">
        <v>19</v>
      </c>
      <c r="B64" s="196" t="s">
        <v>517</v>
      </c>
      <c r="C64" s="197" t="s">
        <v>530</v>
      </c>
      <c r="D64" s="197"/>
      <c r="E64" s="197"/>
    </row>
    <row r="65" customFormat="false" ht="58.5" hidden="false" customHeight="true" outlineLevel="0" collapsed="false">
      <c r="A65" s="85" t="n">
        <v>20</v>
      </c>
      <c r="B65" s="217" t="s">
        <v>514</v>
      </c>
      <c r="C65" s="218" t="s">
        <v>531</v>
      </c>
      <c r="D65" s="218"/>
      <c r="E65" s="218"/>
    </row>
    <row r="67" customFormat="false" ht="19.5" hidden="false" customHeight="true" outlineLevel="0" collapsed="false">
      <c r="A67" s="219" t="s">
        <v>532</v>
      </c>
      <c r="B67" s="219"/>
      <c r="C67" s="219"/>
      <c r="D67" s="219"/>
      <c r="E67" s="219"/>
    </row>
    <row r="68" customFormat="false" ht="17.25" hidden="false" customHeight="true" outlineLevel="0" collapsed="false">
      <c r="A68" s="184" t="s">
        <v>58</v>
      </c>
      <c r="B68" s="184" t="s">
        <v>533</v>
      </c>
      <c r="C68" s="184" t="s">
        <v>534</v>
      </c>
      <c r="D68" s="184"/>
      <c r="E68" s="184"/>
    </row>
    <row r="69" customFormat="false" ht="31.5" hidden="false" customHeight="true" outlineLevel="0" collapsed="false">
      <c r="A69" s="220" t="n">
        <v>1</v>
      </c>
      <c r="B69" s="221" t="s">
        <v>535</v>
      </c>
      <c r="C69" s="222" t="s">
        <v>536</v>
      </c>
      <c r="D69" s="222"/>
      <c r="E69" s="222"/>
    </row>
    <row r="70" customFormat="false" ht="31.5" hidden="false" customHeight="true" outlineLevel="0" collapsed="false">
      <c r="A70" s="220" t="n">
        <v>2</v>
      </c>
      <c r="B70" s="221" t="s">
        <v>535</v>
      </c>
      <c r="C70" s="222" t="s">
        <v>537</v>
      </c>
      <c r="D70" s="222"/>
      <c r="E70" s="222"/>
    </row>
    <row r="71" customFormat="false" ht="31.5" hidden="false" customHeight="true" outlineLevel="0" collapsed="false">
      <c r="A71" s="220" t="n">
        <v>3</v>
      </c>
      <c r="B71" s="221" t="s">
        <v>535</v>
      </c>
      <c r="C71" s="222" t="s">
        <v>538</v>
      </c>
      <c r="D71" s="222"/>
      <c r="E71" s="222"/>
    </row>
    <row r="72" customFormat="false" ht="31.5" hidden="false" customHeight="true" outlineLevel="0" collapsed="false">
      <c r="A72" s="85" t="n">
        <v>4</v>
      </c>
      <c r="B72" s="217" t="s">
        <v>539</v>
      </c>
      <c r="C72" s="218" t="s">
        <v>540</v>
      </c>
      <c r="D72" s="218"/>
      <c r="E72" s="218"/>
    </row>
    <row r="73" customFormat="false" ht="31.5" hidden="false" customHeight="true" outlineLevel="0" collapsed="false">
      <c r="A73" s="87" t="n">
        <v>5</v>
      </c>
      <c r="B73" s="188" t="s">
        <v>541</v>
      </c>
      <c r="C73" s="189" t="s">
        <v>542</v>
      </c>
      <c r="D73" s="189"/>
      <c r="E73" s="189"/>
    </row>
    <row r="74" customFormat="false" ht="31.5" hidden="false" customHeight="true" outlineLevel="0" collapsed="false">
      <c r="A74" s="93" t="n">
        <v>6</v>
      </c>
      <c r="B74" s="192" t="s">
        <v>543</v>
      </c>
      <c r="C74" s="193" t="s">
        <v>544</v>
      </c>
      <c r="D74" s="193"/>
      <c r="E74" s="193"/>
    </row>
    <row r="76" customFormat="false" ht="19.5" hidden="false" customHeight="true" outlineLevel="0" collapsed="false">
      <c r="A76" s="223" t="s">
        <v>545</v>
      </c>
      <c r="B76" s="223"/>
      <c r="C76" s="223"/>
      <c r="D76" s="223"/>
      <c r="E76" s="223"/>
    </row>
    <row r="77" customFormat="false" ht="17.25" hidden="false" customHeight="true" outlineLevel="0" collapsed="false">
      <c r="A77" s="184" t="s">
        <v>546</v>
      </c>
      <c r="B77" s="184" t="s">
        <v>547</v>
      </c>
      <c r="C77" s="184" t="s">
        <v>548</v>
      </c>
      <c r="D77" s="184"/>
      <c r="E77" s="184"/>
    </row>
    <row r="78" customFormat="false" ht="71.25" hidden="false" customHeight="true" outlineLevel="0" collapsed="false">
      <c r="A78" s="162" t="s">
        <v>549</v>
      </c>
      <c r="B78" s="224" t="s">
        <v>550</v>
      </c>
      <c r="C78" s="225" t="s">
        <v>551</v>
      </c>
      <c r="D78" s="225"/>
      <c r="E78" s="225"/>
    </row>
    <row r="79" customFormat="false" ht="71.25" hidden="false" customHeight="true" outlineLevel="0" collapsed="false">
      <c r="A79" s="145" t="s">
        <v>166</v>
      </c>
      <c r="B79" s="198" t="s">
        <v>550</v>
      </c>
      <c r="C79" s="199" t="s">
        <v>552</v>
      </c>
      <c r="D79" s="199"/>
      <c r="E79" s="199"/>
    </row>
    <row r="80" customFormat="false" ht="71.25" hidden="false" customHeight="true" outlineLevel="0" collapsed="false">
      <c r="A80" s="87" t="s">
        <v>167</v>
      </c>
      <c r="B80" s="188" t="s">
        <v>550</v>
      </c>
      <c r="C80" s="189" t="s">
        <v>553</v>
      </c>
      <c r="D80" s="189"/>
      <c r="E80" s="189"/>
    </row>
    <row r="81" customFormat="false" ht="71.25" hidden="false" customHeight="true" outlineLevel="0" collapsed="false">
      <c r="A81" s="87" t="s">
        <v>168</v>
      </c>
      <c r="B81" s="188" t="s">
        <v>550</v>
      </c>
      <c r="C81" s="189" t="s">
        <v>554</v>
      </c>
      <c r="D81" s="189"/>
      <c r="E81" s="189"/>
    </row>
  </sheetData>
  <mergeCells count="63">
    <mergeCell ref="A1:E1"/>
    <mergeCell ref="A2:E2"/>
    <mergeCell ref="A4:E4"/>
    <mergeCell ref="A5:E5"/>
    <mergeCell ref="A7:E7"/>
    <mergeCell ref="A8:E8"/>
    <mergeCell ref="C9:E9"/>
    <mergeCell ref="C10:E10"/>
    <mergeCell ref="C11:E11"/>
    <mergeCell ref="C12:E12"/>
    <mergeCell ref="C13:E13"/>
    <mergeCell ref="C14:E14"/>
    <mergeCell ref="C15:E15"/>
    <mergeCell ref="C16:E16"/>
    <mergeCell ref="C17:E17"/>
    <mergeCell ref="C18:E18"/>
    <mergeCell ref="C19:E19"/>
    <mergeCell ref="A21:E21"/>
    <mergeCell ref="C22:D22"/>
    <mergeCell ref="C23:D23"/>
    <mergeCell ref="C24:D24"/>
    <mergeCell ref="C25:D25"/>
    <mergeCell ref="C26:D26"/>
    <mergeCell ref="C27:D27"/>
    <mergeCell ref="A29:E29"/>
    <mergeCell ref="A30:E30"/>
    <mergeCell ref="A43:E43"/>
    <mergeCell ref="A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A67:E67"/>
    <mergeCell ref="C68:E68"/>
    <mergeCell ref="C69:E69"/>
    <mergeCell ref="C70:E70"/>
    <mergeCell ref="C71:E71"/>
    <mergeCell ref="C72:E72"/>
    <mergeCell ref="C73:E73"/>
    <mergeCell ref="C74:E74"/>
    <mergeCell ref="A76:E76"/>
    <mergeCell ref="C77:E77"/>
    <mergeCell ref="C78:E78"/>
    <mergeCell ref="C79:E79"/>
    <mergeCell ref="C80:E80"/>
    <mergeCell ref="C81:E81"/>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2026-09-23T08:28:43Z</dcterms:created>
  <dc:creator>Kumpulan 4 Negeri Besar (KEMAS)</dc:creator>
  <dc:description/>
  <dc:language>en-US</dc:language>
  <cp:lastModifiedBy/>
  <dcterms:modified xsi:type="dcterms:W3CDTF">2026-09-23T16:28:52Z</dcterms:modified>
  <cp:revision>1</cp:revision>
  <dc:subject/>
  <dc:title>HQ - Kriteria Indikator Wajaran (Negeri Besar) v1.3</dc:title>
</cp:coreProperties>
</file>

<file path=docProps/custom.xml><?xml version="1.0" encoding="utf-8"?>
<Properties xmlns="http://schemas.openxmlformats.org/officeDocument/2006/custom-properties" xmlns:vt="http://schemas.openxmlformats.org/officeDocument/2006/docPropsVTypes"/>
</file>